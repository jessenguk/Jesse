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omments10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ashboard_6Charts" sheetId="1" r:id="rId1"/>
    <sheet name="Charts_Copyable" sheetId="2" r:id="rId2" state="hidden"/>
    <sheet name="Opportunity_Review" sheetId="3" r:id="rId3" state="hidden"/>
    <sheet name="Batch_Summary" sheetId="4" r:id="rId4" state="hidden"/>
    <sheet name="Industry_Summary" sheetId="5" r:id="rId5" state="hidden"/>
    <sheet name="Top_Bottom" sheetId="6" r:id="rId6" state="hidden"/>
    <sheet name="Clean_Data" sheetId="7" r:id="rId7" state="hidden"/>
    <sheet name="Sheet3" sheetId="8" r:id="rId8" state="hidden"/>
    <sheet name="假期" sheetId="9" r:id="rId9" state="hidden"/>
    <sheet name="Sheet1" sheetId="10" r:id="rId10" state="hidden"/>
    <sheet name="Charts_Advanced" sheetId="11" r:id="rId11" state="hidden"/>
    <sheet name="Raw_Backup" sheetId="12" r:id="rId12" state="hidden"/>
    <sheet name="Data_Master" sheetId="13" r:id="rId13"/>
    <sheet name="Chart_Input_Individual" sheetId="14" r:id="rId14"/>
    <sheet name="Chart_Input_Industry" sheetId="15" r:id="rId15"/>
    <sheet name="Chart_Input_Batch" sheetId="16" r:id="rId16"/>
    <sheet name="Summary_KPI" sheetId="17" r:id="rId17"/>
    <sheet name="Readme" sheetId="18" r:id="rId18"/>
  </sheets>
  <definedNames>
    <definedName name="_xlnm._FilterDatabase" localSheetId="3" hidden="1">'Batch_Summary'!A1:G18</definedName>
    <definedName name="_xlnm._FilterDatabase" localSheetId="15" hidden="1">'Chart_Input_Batch'!A1:H18</definedName>
    <definedName name="_xlnm._FilterDatabase" localSheetId="13" hidden="1">'Chart_Input_Individual'!A1:J54</definedName>
    <definedName name="_xlnm._FilterDatabase" localSheetId="14" hidden="1">'Chart_Input_Industry'!A1:J14</definedName>
    <definedName name="_xlnm._FilterDatabase" localSheetId="6" hidden="1">'Clean_Data'!A1:O54</definedName>
    <definedName name="_xlnm._FilterDatabase" localSheetId="12" hidden="1">'Data_Master'!A1:L54</definedName>
    <definedName name="_xlnm._FilterDatabase" localSheetId="4" hidden="1">'Industry_Summary'!A1:H14</definedName>
    <definedName name="_xlnm._FilterDatabase" localSheetId="2" hidden="1">'Opportunity_Review'!A1:F54</definedName>
    <definedName name="_xlnm._FilterDatabase" localSheetId="11" hidden="1">'Raw_Backup'!A1:O54</definedName>
    <definedName name="_xlnm._FilterDatabase" localSheetId="17" hidden="1">'Readme'!A1:B9</definedName>
    <definedName name="_xlnm._FilterDatabase" localSheetId="16" hidden="1">'Summary_KPI'!A1:C12</definedName>
    <definedName name="_xlnm._FilterDatabase" localSheetId="5" hidden="1">'Top_Bottom'!A1:F21</definedName>
  </definedNames>
</workbook>
</file>

<file path=xl/comments10.xml><?xml version="1.0" encoding="utf-8"?>
<comments xmlns="http://schemas.openxmlformats.org/spreadsheetml/2006/main">
  <authors>
    <author>HUAWEI</author>
  </authors>
  <commentList>
    <comment ref="K1" authorId="0">
      <text>
        <t xml:space="preserve">HUAWEI:
最高涨幅日距推荐日之间的交易日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5">
    <numFmt numFmtId="56" formatCode="&quot;上午/下午 &quot;hh&quot;時&quot;mm&quot;分&quot;ss&quot;秒 &quot;"/>
    <numFmt numFmtId="176" formatCode="yyyy/m/d;@"/>
    <numFmt numFmtId="177" formatCode="0.00_ "/>
    <numFmt numFmtId="178" formatCode="yyyy\-mm\-dd"/>
    <numFmt numFmtId="179" formatCode="yyyy\-mm\-dd\ h:mm:ss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theme" Target="theme/theme1.xml"/><Relationship Id="rId20" Type="http://schemas.openxmlformats.org/officeDocument/2006/relationships/styles" Target="styles.xml"/><Relationship Id="rId2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0.vml"/><Relationship Id="rId2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29"/>
  <sheetViews>
    <sheetView workbookViewId="0" rightToLeft="0"/>
  </sheetViews>
  <sheetData>
    <row r="1">
      <c r="A1" t="str">
        <v>个股收益可视化分析包 · 6 Charts Dashboard</v>
      </c>
    </row>
    <row r="2">
      <c r="A2" t="str">
        <v>基于 Data_Master 和 Chart_Input_* 表生成；图表可复制到 PPT/Word。</v>
      </c>
    </row>
    <row r="4">
      <c r="A4" t="str">
        <v>1. 个股收益排行榜 Top 10 / Bottom 10</v>
      </c>
    </row>
    <row r="5">
      <c r="A5" t="str">
        <v>Top 10 个股</v>
      </c>
      <c r="B5" t="str">
        <v>区间涨跌幅</v>
      </c>
      <c r="C5" t="str">
        <v>行业</v>
      </c>
      <c r="H5" t="str">
        <v>Bottom 10 个股</v>
      </c>
      <c r="I5" t="str">
        <v>区间涨跌幅</v>
      </c>
      <c r="J5" t="str">
        <v>行业</v>
      </c>
    </row>
    <row r="6">
      <c r="A6" t="str">
        <v>云南锗业</v>
      </c>
      <c r="B6">
        <v>0.795790416480072</v>
      </c>
      <c r="C6" t="str">
        <v>有色金属</v>
      </c>
      <c r="H6" t="str">
        <v>科华数据</v>
      </c>
      <c r="I6">
        <v>-0.472089552238806</v>
      </c>
      <c r="J6" t="str">
        <v>电力设备</v>
      </c>
    </row>
    <row r="7">
      <c r="A7" t="str">
        <v>东山精密</v>
      </c>
      <c r="B7">
        <v>0.760236844299892</v>
      </c>
      <c r="C7" t="str">
        <v>电子</v>
      </c>
      <c r="H7" t="str">
        <v>北信源</v>
      </c>
      <c r="I7">
        <v>-0.397905759162304</v>
      </c>
      <c r="J7" t="str">
        <v>计算机</v>
      </c>
    </row>
    <row r="8">
      <c r="A8" t="str">
        <v>宏景科技</v>
      </c>
      <c r="B8">
        <v>0.536400427966693</v>
      </c>
      <c r="C8" t="str">
        <v>计算机</v>
      </c>
      <c r="H8" t="str">
        <v>首都在线</v>
      </c>
      <c r="I8">
        <v>-0.3339700732250875</v>
      </c>
      <c r="J8" t="str">
        <v>计算机</v>
      </c>
    </row>
    <row r="9">
      <c r="A9" t="str">
        <v>海光信息</v>
      </c>
      <c r="B9">
        <v>0.510835913312694</v>
      </c>
      <c r="C9" t="str">
        <v>电子</v>
      </c>
      <c r="H9" t="str">
        <v>湖南裕能</v>
      </c>
      <c r="I9">
        <v>-0.2735232067510548</v>
      </c>
      <c r="J9" t="str">
        <v>电力设备</v>
      </c>
    </row>
    <row r="10">
      <c r="A10" t="str">
        <v>特锐德</v>
      </c>
      <c r="B10">
        <v>0.342991913746631</v>
      </c>
      <c r="C10" t="str">
        <v>电力设备</v>
      </c>
      <c r="H10" t="str">
        <v>三生国健</v>
      </c>
      <c r="I10">
        <v>-0.259708454810496</v>
      </c>
      <c r="J10" t="str">
        <v>医药生物</v>
      </c>
    </row>
    <row r="11">
      <c r="A11" t="str">
        <v>天赐材料</v>
      </c>
      <c r="B11">
        <v>0.329663349565954</v>
      </c>
      <c r="C11" t="str">
        <v>电力设备</v>
      </c>
      <c r="H11" t="str">
        <v>利亚德</v>
      </c>
      <c r="I11">
        <v>-0.236658932714617</v>
      </c>
      <c r="J11" t="str">
        <v>电子</v>
      </c>
    </row>
    <row r="12">
      <c r="A12" t="str">
        <v>香农芯创</v>
      </c>
      <c r="B12">
        <v>0.298332303891291</v>
      </c>
      <c r="C12" t="str">
        <v>电子</v>
      </c>
      <c r="H12" t="str">
        <v>森特股份</v>
      </c>
      <c r="I12">
        <v>-0.170491803278689</v>
      </c>
      <c r="J12" t="str">
        <v>建筑装饰</v>
      </c>
    </row>
    <row r="13">
      <c r="A13" t="str">
        <v>新风光</v>
      </c>
      <c r="B13">
        <v>0.283328492593668</v>
      </c>
      <c r="C13" t="str">
        <v>电力设备</v>
      </c>
      <c r="H13" t="str">
        <v>美湖股份</v>
      </c>
      <c r="I13">
        <v>-0.161536437779532</v>
      </c>
      <c r="J13" t="str">
        <v>汽车</v>
      </c>
    </row>
    <row r="14">
      <c r="A14" t="str">
        <v>力量钻石</v>
      </c>
      <c r="B14">
        <v>0.274776785714286</v>
      </c>
      <c r="C14" t="str">
        <v>新材料</v>
      </c>
      <c r="H14" t="str">
        <v>永福股份</v>
      </c>
      <c r="I14">
        <v>-0.15779702970297</v>
      </c>
      <c r="J14" t="str">
        <v>建筑工程/电力设备</v>
      </c>
    </row>
    <row r="15">
      <c r="A15" t="str">
        <v>新锐股份</v>
      </c>
      <c r="B15">
        <v>0.267054908485857</v>
      </c>
      <c r="C15" t="str">
        <v>机械设备</v>
      </c>
      <c r="H15" t="str">
        <v>华明装备</v>
      </c>
      <c r="I15">
        <v>-0.131826741996234</v>
      </c>
      <c r="J15" t="str">
        <v>电力设备</v>
      </c>
    </row>
    <row r="16">
      <c r="A16" t="str">
        <v>图表解读</v>
      </c>
    </row>
    <row r="17">
      <c r="A17" t="str">
        <v>- Top 10 平均收益 43.99%。</v>
      </c>
    </row>
    <row r="18">
      <c r="A18" t="str">
        <v>- Bottom 10 平均收益 -25.96%。</v>
      </c>
    </row>
    <row r="22">
      <c r="A22" t="str">
        <v>2. 收益分布图</v>
      </c>
    </row>
    <row r="23">
      <c r="A23" t="str">
        <v>收益分布区间</v>
      </c>
      <c r="B23" t="str">
        <v>股票数量</v>
      </c>
      <c r="L23" t="str">
        <v>图表解读</v>
      </c>
    </row>
    <row r="24">
      <c r="A24" t="str">
        <v>&lt;-30%</v>
      </c>
      <c r="B24">
        <v>3</v>
      </c>
      <c r="L24" t="str">
        <v>- 正收益 28 只，占比 52.83%。</v>
      </c>
    </row>
    <row r="25">
      <c r="A25" t="str">
        <v>-30~-20%</v>
      </c>
      <c r="B25">
        <v>3</v>
      </c>
      <c r="L25" t="str">
        <v>- 用于判断收益是否由少数大赢家驱动。</v>
      </c>
    </row>
    <row r="26">
      <c r="A26" t="str">
        <v>-20~-10%</v>
      </c>
      <c r="B26">
        <v>13</v>
      </c>
    </row>
    <row r="27">
      <c r="A27" t="str">
        <v>-10~0%</v>
      </c>
      <c r="B27">
        <v>6</v>
      </c>
    </row>
    <row r="28">
      <c r="A28" t="str">
        <v>0~10%</v>
      </c>
      <c r="B28">
        <v>11</v>
      </c>
    </row>
    <row r="29">
      <c r="A29" t="str">
        <v>10~20%</v>
      </c>
      <c r="B29">
        <v>7</v>
      </c>
    </row>
    <row r="30">
      <c r="A30" t="str">
        <v>20~50%</v>
      </c>
      <c r="B30">
        <v>6</v>
      </c>
    </row>
    <row r="31">
      <c r="A31" t="str">
        <v>&gt;50%</v>
      </c>
      <c r="B31">
        <v>4</v>
      </c>
    </row>
    <row r="41">
      <c r="A41" t="str">
        <v>3. 行业大类平均收益</v>
      </c>
    </row>
    <row r="42">
      <c r="A42" t="str">
        <v>行业大类（数量）</v>
      </c>
      <c r="B42" t="str">
        <v>平均区间涨跌幅</v>
      </c>
      <c r="C42" t="str">
        <v>备注</v>
      </c>
      <c r="L42" t="str">
        <v>图表解读</v>
      </c>
    </row>
    <row r="43">
      <c r="A43" t="str">
        <v>机械设备 (2)</v>
      </c>
      <c r="B43">
        <v>0.230858183409595</v>
      </c>
      <c r="C43" t="str">
        <v>样本较少，仅供参考</v>
      </c>
      <c r="L43" t="str">
        <v>- 样本较少行业：机械设备, 家用电器/电子, 传媒, 建筑工程/电力设备, 医药生物, 建筑装饰。</v>
      </c>
    </row>
    <row r="44">
      <c r="A44" t="str">
        <v>新材料 (3)</v>
      </c>
      <c r="B44">
        <v>0.1842570035136583</v>
      </c>
      <c r="L44" t="str">
        <v>- 括号内为股票数量。</v>
      </c>
    </row>
    <row r="45">
      <c r="A45" t="str">
        <v>有色金属 (4)</v>
      </c>
      <c r="B45">
        <v>0.1770567644437318</v>
      </c>
    </row>
    <row r="46">
      <c r="A46" t="str">
        <v>电子 (13)</v>
      </c>
      <c r="B46">
        <v>0.1241970051633129</v>
      </c>
    </row>
    <row r="47">
      <c r="A47" t="str">
        <v>家用电器/电子 (1)</v>
      </c>
      <c r="B47">
        <v>0.0747330960854092</v>
      </c>
      <c r="C47" t="str">
        <v>样本较少，仅供参考</v>
      </c>
    </row>
    <row r="48">
      <c r="A48" t="str">
        <v>电力设备 (12)</v>
      </c>
      <c r="B48">
        <v>0.001241681152417221</v>
      </c>
    </row>
    <row r="49">
      <c r="A49" t="str">
        <v>基础化工 (3)</v>
      </c>
      <c r="B49">
        <v>-0.04656122968381437</v>
      </c>
    </row>
    <row r="50">
      <c r="A50" t="str">
        <v>传媒 (1)</v>
      </c>
      <c r="B50">
        <v>-0.0634715025906735</v>
      </c>
      <c r="C50" t="str">
        <v>样本较少，仅供参考</v>
      </c>
    </row>
    <row r="51">
      <c r="A51" t="str">
        <v>汽车 (2)</v>
      </c>
      <c r="B51">
        <v>-0.06733806852348916</v>
      </c>
      <c r="C51" t="str">
        <v>样本较少，仅供参考</v>
      </c>
    </row>
    <row r="52">
      <c r="A52" t="str">
        <v>计算机 (7)</v>
      </c>
      <c r="B52">
        <v>-0.06812265455636907</v>
      </c>
    </row>
    <row r="53">
      <c r="A53" t="str">
        <v>建筑装饰 (2)</v>
      </c>
      <c r="B53">
        <v>-0.1477459016393445</v>
      </c>
      <c r="C53" t="str">
        <v>样本较少，仅供参考</v>
      </c>
    </row>
    <row r="54">
      <c r="A54" t="str">
        <v>建筑工程/电力设备 (1)</v>
      </c>
      <c r="B54">
        <v>-0.15779702970297</v>
      </c>
      <c r="C54" t="str">
        <v>样本较少，仅供参考</v>
      </c>
    </row>
    <row r="55">
      <c r="A55" t="str">
        <v>医药生物 (2)</v>
      </c>
      <c r="B55">
        <v>-0.1870018448660945</v>
      </c>
      <c r="C55" t="str">
        <v>样本较少，仅供参考</v>
      </c>
    </row>
    <row r="62">
      <c r="A62" t="str">
        <v>4. 收益 × 效率四象限图</v>
      </c>
    </row>
    <row r="63">
      <c r="A63" t="str">
        <v>个股名称</v>
      </c>
      <c r="B63" t="str">
        <v>区间涨跌幅</v>
      </c>
      <c r="C63" t="str">
        <v>日均收益率</v>
      </c>
      <c r="D63" t="str">
        <v>行业大类</v>
      </c>
      <c r="L63" t="str">
        <v>图表解读</v>
      </c>
    </row>
    <row r="64">
      <c r="A64" t="str">
        <v>国瓷材料</v>
      </c>
      <c r="B64">
        <v>0.109899569583931</v>
      </c>
      <c r="C64">
        <v>0.0109899569583931</v>
      </c>
      <c r="D64" t="str">
        <v>新材料</v>
      </c>
      <c r="L64" t="str">
        <v>- 高收益高效率代表：东山精密, 香农芯创, 协创数据。</v>
      </c>
    </row>
    <row r="65">
      <c r="A65" t="str">
        <v>风华高科</v>
      </c>
      <c r="B65">
        <v>0.00439297124600637</v>
      </c>
      <c r="C65">
        <v>0.00439297124600637</v>
      </c>
      <c r="D65" t="str">
        <v>电子</v>
      </c>
      <c r="L65" t="str">
        <v>- 低收益低效率代表：首都在线, 森特股份, 科华数据。</v>
      </c>
    </row>
    <row r="66">
      <c r="A66" t="str">
        <v>达利凯普</v>
      </c>
      <c r="B66">
        <v>0.00708661417322834</v>
      </c>
      <c r="C66">
        <v>0.0002362204724409447</v>
      </c>
      <c r="D66" t="str">
        <v>电子</v>
      </c>
      <c r="L66" t="str">
        <v>- 参考线可在 Excel 中基于 0 轴进一步手动强化。</v>
      </c>
    </row>
    <row r="67">
      <c r="A67" t="str">
        <v>华锐精密</v>
      </c>
      <c r="B67">
        <v>0.194661458333333</v>
      </c>
      <c r="C67">
        <v>0.004527010658914721</v>
      </c>
      <c r="D67" t="str">
        <v>机械设备</v>
      </c>
    </row>
    <row r="68">
      <c r="A68" t="str">
        <v>新锐股份</v>
      </c>
      <c r="B68">
        <v>0.267054908485857</v>
      </c>
      <c r="C68">
        <v>0.1335274542429285</v>
      </c>
      <c r="D68" t="str">
        <v>机械设备</v>
      </c>
    </row>
    <row r="69">
      <c r="A69" t="str">
        <v>云南锗业</v>
      </c>
      <c r="B69">
        <v>0.795790416480072</v>
      </c>
      <c r="C69">
        <v>0.02273686904228777</v>
      </c>
      <c r="D69" t="str">
        <v>有色金属</v>
      </c>
    </row>
    <row r="70">
      <c r="A70" t="str">
        <v>华鲁恒升</v>
      </c>
      <c r="B70">
        <v>-0.0809160305343511</v>
      </c>
      <c r="C70">
        <v>-0.003518088284102222</v>
      </c>
      <c r="D70" t="str">
        <v>基础化工</v>
      </c>
    </row>
    <row r="71">
      <c r="A71" t="str">
        <v>湖北宜化</v>
      </c>
      <c r="B71">
        <v>-0.119321291735085</v>
      </c>
      <c r="C71">
        <v>-0.009178560902698847</v>
      </c>
      <c r="D71" t="str">
        <v>基础化工</v>
      </c>
    </row>
    <row r="72">
      <c r="A72" t="str">
        <v>华灿光电</v>
      </c>
      <c r="B72">
        <v>0.107732406602954</v>
      </c>
      <c r="C72">
        <v>0.107732406602954</v>
      </c>
      <c r="D72" t="str">
        <v>电子</v>
      </c>
    </row>
    <row r="73">
      <c r="A73" t="str">
        <v>新相微</v>
      </c>
      <c r="B73">
        <v>0.137891737891738</v>
      </c>
      <c r="C73">
        <v>0.003363213119310683</v>
      </c>
      <c r="D73" t="str">
        <v>电子</v>
      </c>
    </row>
    <row r="74">
      <c r="A74" t="str">
        <v>利亚德</v>
      </c>
      <c r="B74">
        <v>-0.236658932714617</v>
      </c>
      <c r="C74">
        <v>-0.010289518813679</v>
      </c>
      <c r="D74" t="str">
        <v>电子</v>
      </c>
    </row>
    <row r="75">
      <c r="A75" t="str">
        <v>兆驰股份</v>
      </c>
      <c r="B75">
        <v>0.0747330960854092</v>
      </c>
      <c r="C75">
        <v>0.01245551601423487</v>
      </c>
      <c r="D75" t="str">
        <v>家用电器/电子</v>
      </c>
    </row>
    <row r="76">
      <c r="A76" t="str">
        <v>安光电</v>
      </c>
      <c r="B76">
        <v>-0.113583138173302</v>
      </c>
      <c r="C76">
        <v>-0.003441913277978848</v>
      </c>
      <c r="D76" t="str">
        <v>电子</v>
      </c>
    </row>
    <row r="77">
      <c r="A77" t="str">
        <v>乾照光电</v>
      </c>
      <c r="B77">
        <v>-0.111647727272727</v>
      </c>
      <c r="C77">
        <v>-0.003601539589442806</v>
      </c>
      <c r="D77" t="str">
        <v>电子</v>
      </c>
    </row>
    <row r="78">
      <c r="A78" t="str">
        <v>万兴科技</v>
      </c>
      <c r="B78">
        <v>-0.112093660480757</v>
      </c>
      <c r="C78">
        <v>-0.005337793356226524</v>
      </c>
      <c r="D78" t="str">
        <v>计算机</v>
      </c>
    </row>
    <row r="79">
      <c r="A79" t="str">
        <v>优刻得</v>
      </c>
      <c r="B79">
        <v>0.0167662362690306</v>
      </c>
      <c r="C79">
        <v>0.0007621016485923</v>
      </c>
      <c r="D79" t="str">
        <v>计算机</v>
      </c>
    </row>
    <row r="80">
      <c r="A80" t="str">
        <v>顺网科技</v>
      </c>
      <c r="B80">
        <v>-0.0634715025906735</v>
      </c>
      <c r="C80">
        <v>-0.002885068299576068</v>
      </c>
      <c r="D80" t="str">
        <v>传媒</v>
      </c>
    </row>
    <row r="81">
      <c r="A81" t="str">
        <v>中科创达</v>
      </c>
      <c r="B81">
        <v>-0.0816666666666666</v>
      </c>
      <c r="C81">
        <v>-0.003712121212121209</v>
      </c>
      <c r="D81" t="str">
        <v>计算机</v>
      </c>
    </row>
    <row r="82">
      <c r="A82" t="str">
        <v>拓维信息</v>
      </c>
      <c r="B82">
        <v>-0.104389086595492</v>
      </c>
      <c r="C82">
        <v>-0.004744958481613272</v>
      </c>
      <c r="D82" t="str">
        <v>计算机</v>
      </c>
    </row>
    <row r="83">
      <c r="A83" t="str">
        <v>瑞芯微</v>
      </c>
      <c r="B83">
        <v>0.00700778642936591</v>
      </c>
      <c r="C83">
        <v>0.0003185357467893596</v>
      </c>
      <c r="D83" t="str">
        <v>电子</v>
      </c>
    </row>
    <row r="84">
      <c r="A84" t="str">
        <v>北信源</v>
      </c>
      <c r="B84">
        <v>-0.397905759162304</v>
      </c>
      <c r="C84">
        <v>-0.01421091997008228</v>
      </c>
      <c r="D84" t="str">
        <v>计算机</v>
      </c>
    </row>
    <row r="85">
      <c r="A85" t="str">
        <v>金杯电工</v>
      </c>
      <c r="B85">
        <v>-0.119242902208202</v>
      </c>
      <c r="C85">
        <v>-0.0119242902208202</v>
      </c>
      <c r="D85" t="str">
        <v>电力设备</v>
      </c>
    </row>
    <row r="86">
      <c r="A86" t="str">
        <v>法拉电子</v>
      </c>
      <c r="B86">
        <v>0.043109243697479</v>
      </c>
      <c r="C86">
        <v>0.0086218487394958</v>
      </c>
      <c r="D86" t="str">
        <v>电子</v>
      </c>
    </row>
    <row r="87">
      <c r="A87" t="str">
        <v>永福股份</v>
      </c>
      <c r="B87">
        <v>-0.15779702970297</v>
      </c>
      <c r="C87">
        <v>-0.01753300330033</v>
      </c>
      <c r="D87" t="str">
        <v>建筑工程/电力设备</v>
      </c>
    </row>
    <row r="88">
      <c r="A88" t="str">
        <v>5. 推荐批次收益贡献瀑布图</v>
      </c>
    </row>
    <row r="89">
      <c r="A89" t="str">
        <v>推荐日期</v>
      </c>
      <c r="B89" t="str">
        <v>推荐数量</v>
      </c>
      <c r="C89" t="str">
        <v>平均区间涨跌幅</v>
      </c>
      <c r="D89" t="str">
        <v>批次贡献</v>
      </c>
      <c r="E89" t="str">
        <v>瀑布基底</v>
      </c>
      <c r="F89" t="str">
        <v>瀑布高度</v>
      </c>
      <c r="G89" t="str">
        <v>累计贡献</v>
      </c>
      <c r="H89" t="str">
        <v>贡献方向</v>
      </c>
      <c r="L89" t="str">
        <v>图表解读</v>
      </c>
    </row>
    <row r="90">
      <c r="A90">
        <v>46078</v>
      </c>
      <c r="B90">
        <v>3</v>
      </c>
      <c r="C90">
        <v>0.04045971833438857</v>
      </c>
      <c r="D90">
        <v>0.002290172735908787</v>
      </c>
      <c r="E90">
        <v>0</v>
      </c>
      <c r="F90">
        <v>0.002290172735908787</v>
      </c>
      <c r="G90">
        <v>0.002290172735908787</v>
      </c>
      <c r="H90" t="str">
        <v>正贡献</v>
      </c>
      <c r="L90" t="str">
        <v>- 每根柱代表该推荐批次对整体等权平均收益的贡献。</v>
      </c>
    </row>
    <row r="91">
      <c r="A91">
        <v>46080</v>
      </c>
      <c r="B91">
        <v>3</v>
      </c>
      <c r="C91">
        <v>0.4191689277664207</v>
      </c>
      <c r="D91">
        <v>0.02372654308111815</v>
      </c>
      <c r="E91">
        <v>0.002290172735908787</v>
      </c>
      <c r="F91">
        <v>0.02372654308111815</v>
      </c>
      <c r="G91">
        <v>0.02601671581702694</v>
      </c>
      <c r="H91" t="str">
        <v>正贡献</v>
      </c>
      <c r="L91" t="str">
        <v>- Python 图表库不支持真正原生 Waterfall，本图用内部数据近似；输入表可在 Excel 365 中一键重插瀑布图。</v>
      </c>
    </row>
    <row r="92">
      <c r="A92">
        <v>46086</v>
      </c>
      <c r="B92">
        <v>2</v>
      </c>
      <c r="C92">
        <v>-0.1001186611347181</v>
      </c>
      <c r="D92">
        <v>-0.003778062684328983</v>
      </c>
      <c r="E92">
        <v>0.02223865313269796</v>
      </c>
      <c r="F92">
        <v>0.003778062684328983</v>
      </c>
      <c r="G92">
        <v>0.02223865313269796</v>
      </c>
      <c r="H92" t="str">
        <v>负贡献</v>
      </c>
    </row>
    <row r="93">
      <c r="A93">
        <v>46087</v>
      </c>
      <c r="B93">
        <v>6</v>
      </c>
      <c r="C93">
        <v>-0.02358875959675746</v>
      </c>
      <c r="D93">
        <v>-0.00267042561472726</v>
      </c>
      <c r="E93">
        <v>0.0195682275179707</v>
      </c>
      <c r="F93">
        <v>0.00267042561472726</v>
      </c>
      <c r="G93">
        <v>0.0195682275179707</v>
      </c>
      <c r="H93" t="str">
        <v>负贡献</v>
      </c>
    </row>
    <row r="94">
      <c r="A94">
        <v>46091</v>
      </c>
      <c r="B94">
        <v>7</v>
      </c>
      <c r="C94">
        <v>-0.1051075218282138</v>
      </c>
      <c r="D94">
        <v>-0.01388212552448107</v>
      </c>
      <c r="E94">
        <v>0.005686101993489633</v>
      </c>
      <c r="F94">
        <v>0.01388212552448107</v>
      </c>
      <c r="G94">
        <v>0.005686101993489633</v>
      </c>
      <c r="H94" t="str">
        <v>负贡献</v>
      </c>
    </row>
    <row r="95">
      <c r="A95">
        <v>46093</v>
      </c>
      <c r="B95">
        <v>3</v>
      </c>
      <c r="C95">
        <v>-0.077976896071231</v>
      </c>
      <c r="D95">
        <v>-0.004413786570069679</v>
      </c>
      <c r="E95">
        <v>0.001272315423419954</v>
      </c>
      <c r="F95">
        <v>0.004413786570069679</v>
      </c>
      <c r="G95">
        <v>0.001272315423419954</v>
      </c>
      <c r="H95" t="str">
        <v>负贡献</v>
      </c>
    </row>
    <row r="96">
      <c r="A96">
        <v>46111</v>
      </c>
      <c r="B96">
        <v>2</v>
      </c>
      <c r="C96">
        <v>0.1951084913919735</v>
      </c>
      <c r="D96">
        <v>0.007362584580829189</v>
      </c>
      <c r="E96">
        <v>0.001272315423419954</v>
      </c>
      <c r="F96">
        <v>0.007362584580829189</v>
      </c>
      <c r="G96">
        <v>0.008634900004249144</v>
      </c>
      <c r="H96" t="str">
        <v>正贡献</v>
      </c>
    </row>
    <row r="97">
      <c r="A97">
        <v>46120</v>
      </c>
      <c r="B97">
        <v>3</v>
      </c>
      <c r="C97">
        <v>0.5231350205012923</v>
      </c>
      <c r="D97">
        <v>0.02961141625479013</v>
      </c>
      <c r="E97">
        <v>0.008634900004249144</v>
      </c>
      <c r="F97">
        <v>0.02961141625479013</v>
      </c>
      <c r="G97">
        <v>0.03824631625903928</v>
      </c>
      <c r="H97" t="str">
        <v>正贡献</v>
      </c>
    </row>
    <row r="98">
      <c r="A98">
        <v>46126</v>
      </c>
      <c r="B98">
        <v>4</v>
      </c>
      <c r="C98">
        <v>0.1780604601274056</v>
      </c>
      <c r="D98">
        <v>0.01343852529263439</v>
      </c>
      <c r="E98">
        <v>0.03824631625903928</v>
      </c>
      <c r="F98">
        <v>0.01343852529263439</v>
      </c>
      <c r="G98">
        <v>0.05168484155167366</v>
      </c>
      <c r="H98" t="str">
        <v>正贡献</v>
      </c>
    </row>
    <row r="99">
      <c r="A99">
        <v>46127</v>
      </c>
      <c r="B99">
        <v>2</v>
      </c>
      <c r="C99">
        <v>0.221435720478522</v>
      </c>
      <c r="D99">
        <v>0.00835606492371781</v>
      </c>
      <c r="E99">
        <v>0.05168484155167366</v>
      </c>
      <c r="F99">
        <v>0.00835606492371781</v>
      </c>
      <c r="G99">
        <v>0.06004090647539147</v>
      </c>
      <c r="H99" t="str">
        <v>正贡献</v>
      </c>
    </row>
    <row r="100">
      <c r="A100">
        <v>46132</v>
      </c>
      <c r="B100">
        <v>2</v>
      </c>
      <c r="C100">
        <v>-0.1870018448660945</v>
      </c>
      <c r="D100">
        <v>-0.007056673391173377</v>
      </c>
      <c r="E100">
        <v>0.05298423308421809</v>
      </c>
      <c r="F100">
        <v>0.007056673391173377</v>
      </c>
      <c r="G100">
        <v>0.05298423308421809</v>
      </c>
      <c r="H100" t="str">
        <v>负贡献</v>
      </c>
    </row>
    <row r="101">
      <c r="A101">
        <v>46134</v>
      </c>
      <c r="B101">
        <v>2</v>
      </c>
      <c r="C101">
        <v>0.02580942151296605</v>
      </c>
      <c r="D101">
        <v>0.000973940434451549</v>
      </c>
      <c r="E101">
        <v>0.05298423308421809</v>
      </c>
      <c r="F101">
        <v>0.000973940434451549</v>
      </c>
      <c r="G101">
        <v>0.05395817351866964</v>
      </c>
      <c r="H101" t="str">
        <v>正贡献</v>
      </c>
    </row>
    <row r="102">
      <c r="A102">
        <v>46136</v>
      </c>
      <c r="B102">
        <v>4</v>
      </c>
      <c r="C102">
        <v>-0.1075419850814168</v>
      </c>
      <c r="D102">
        <v>-0.00811637623255976</v>
      </c>
      <c r="E102">
        <v>0.04584179728610988</v>
      </c>
      <c r="F102">
        <v>0.00811637623255976</v>
      </c>
      <c r="G102">
        <v>0.04584179728610988</v>
      </c>
      <c r="H102" t="str">
        <v>负贡献</v>
      </c>
    </row>
    <row r="103">
      <c r="A103">
        <v>46140</v>
      </c>
      <c r="B103">
        <v>4</v>
      </c>
      <c r="C103">
        <v>-0.02294990643562078</v>
      </c>
      <c r="D103">
        <v>-0.00173206841023553</v>
      </c>
      <c r="E103">
        <v>0.04410972887587435</v>
      </c>
      <c r="F103">
        <v>0.00173206841023553</v>
      </c>
      <c r="G103">
        <v>0.04410972887587435</v>
      </c>
      <c r="H103" t="str">
        <v>负贡献</v>
      </c>
    </row>
    <row r="104">
      <c r="A104">
        <v>46148</v>
      </c>
      <c r="B104">
        <v>2</v>
      </c>
      <c r="C104">
        <v>0.3131602031701495</v>
      </c>
      <c r="D104">
        <v>0.01181736615736413</v>
      </c>
      <c r="E104">
        <v>0.04410972887587435</v>
      </c>
      <c r="F104">
        <v>0.01181736615736413</v>
      </c>
      <c r="G104">
        <v>0.05592709503323848</v>
      </c>
      <c r="H104" t="str">
        <v>正贡献</v>
      </c>
    </row>
    <row r="105">
      <c r="A105">
        <v>46160</v>
      </c>
      <c r="B105">
        <v>2</v>
      </c>
      <c r="C105">
        <v>-0.4030298127319467</v>
      </c>
      <c r="D105">
        <v>-0.01520867217856403</v>
      </c>
      <c r="E105">
        <v>0.04071842285467446</v>
      </c>
      <c r="F105">
        <v>0.01520867217856403</v>
      </c>
      <c r="G105">
        <v>0.04071842285467446</v>
      </c>
      <c r="H105" t="str">
        <v>负贡献</v>
      </c>
    </row>
    <row r="106">
      <c r="A106">
        <v>46163</v>
      </c>
      <c r="B106">
        <v>2</v>
      </c>
      <c r="C106">
        <v>-0.1865750362113483</v>
      </c>
      <c r="D106">
        <v>-0.007040567404201821</v>
      </c>
      <c r="E106">
        <v>0.03367785545047264</v>
      </c>
      <c r="F106">
        <v>0.007040567404201821</v>
      </c>
      <c r="G106">
        <v>0.03367785545047264</v>
      </c>
      <c r="H106" t="str">
        <v>负贡献</v>
      </c>
    </row>
    <row r="107">
      <c r="A107" t="str">
        <v>整体平均</v>
      </c>
      <c r="B107">
        <v>53</v>
      </c>
      <c r="C107">
        <v>0.03367785545047263</v>
      </c>
      <c r="D107">
        <v>0.03367785545047263</v>
      </c>
      <c r="E107">
        <v>0</v>
      </c>
      <c r="F107">
        <v>0.03367785545047263</v>
      </c>
      <c r="G107">
        <v>0.03367785545047263</v>
      </c>
      <c r="H107" t="str">
        <v>总体</v>
      </c>
    </row>
    <row r="108">
      <c r="A108" t="str">
        <v>中国铝业</v>
      </c>
      <c r="B108">
        <v>-0.0464135021097046</v>
      </c>
      <c r="C108">
        <v>-0.002210166767128791</v>
      </c>
      <c r="D108" t="str">
        <v>有色金属</v>
      </c>
    </row>
    <row r="109">
      <c r="A109" t="str">
        <v>华明装备</v>
      </c>
      <c r="B109">
        <v>-0.131826741996234</v>
      </c>
      <c r="C109">
        <v>-0.006591337099811701</v>
      </c>
      <c r="D109" t="str">
        <v>电力设备</v>
      </c>
    </row>
    <row r="110">
      <c r="A110" t="str">
        <v>伊戈尔</v>
      </c>
      <c r="B110">
        <v>0.161425061425061</v>
      </c>
      <c r="C110">
        <v>0.01345208845208842</v>
      </c>
      <c r="D110" t="str">
        <v>电力设备</v>
      </c>
    </row>
    <row r="111">
      <c r="A111" t="str">
        <v>新风光</v>
      </c>
      <c r="B111">
        <v>0.283328492593668</v>
      </c>
      <c r="C111">
        <v>0.03148094362151867</v>
      </c>
      <c r="D111" t="str">
        <v>电力设备</v>
      </c>
    </row>
    <row r="112">
      <c r="A112" t="str">
        <v>特锐德</v>
      </c>
      <c r="B112">
        <v>0.342991913746631</v>
      </c>
      <c r="C112">
        <v>0.01559054153393777</v>
      </c>
      <c r="D112" t="str">
        <v>电力设备</v>
      </c>
    </row>
    <row r="113">
      <c r="A113" t="str">
        <v>首都在线</v>
      </c>
      <c r="B113">
        <v>-0.3339700732250875</v>
      </c>
      <c r="C113">
        <v>-0.1669850366125437</v>
      </c>
      <c r="D113" t="str">
        <v>计算机</v>
      </c>
    </row>
    <row r="114">
      <c r="A114" t="str">
        <v>科华数据</v>
      </c>
      <c r="B114">
        <v>-0.472089552238806</v>
      </c>
      <c r="C114">
        <v>-0.0393407960199005</v>
      </c>
      <c r="D114" t="str">
        <v>电力设备</v>
      </c>
    </row>
    <row r="115">
      <c r="A115" t="str">
        <v>6. 行业四维气泡图</v>
      </c>
    </row>
    <row r="116">
      <c r="A116" t="str">
        <v>行业大类</v>
      </c>
      <c r="B116" t="str">
        <v>平均区间涨跌幅</v>
      </c>
      <c r="C116" t="str">
        <v>正收益占比</v>
      </c>
      <c r="D116" t="str">
        <v>股票数量</v>
      </c>
      <c r="E116" t="str">
        <v>行业弹性</v>
      </c>
      <c r="F116" t="str">
        <v>备注</v>
      </c>
      <c r="L116" t="str">
        <v>图表解读</v>
      </c>
    </row>
    <row r="117">
      <c r="A117" t="str">
        <v>新材料</v>
      </c>
      <c r="B117">
        <v>0.1842570035136583</v>
      </c>
      <c r="C117">
        <v>1</v>
      </c>
      <c r="D117">
        <v>3</v>
      </c>
      <c r="E117">
        <v>0.164877216130355</v>
      </c>
      <c r="L117" t="str">
        <v>- X=行业平均收益，Y=正收益占比，气泡大小=股票数量。</v>
      </c>
    </row>
    <row r="118">
      <c r="A118" t="str">
        <v>电子</v>
      </c>
      <c r="B118">
        <v>0.1241970051633129</v>
      </c>
      <c r="C118">
        <v>0.7692307692307693</v>
      </c>
      <c r="D118">
        <v>13</v>
      </c>
      <c r="E118">
        <v>0.996895777014509</v>
      </c>
      <c r="L118" t="str">
        <v>- 行业弹性越高，内部个股分化越大；样本少行业仅供参考。</v>
      </c>
    </row>
    <row r="119">
      <c r="A119" t="str">
        <v>机械设备</v>
      </c>
      <c r="B119">
        <v>0.230858183409595</v>
      </c>
      <c r="C119">
        <v>1</v>
      </c>
      <c r="D119">
        <v>2</v>
      </c>
      <c r="E119">
        <v>0.07239345015252399</v>
      </c>
      <c r="F119" t="str">
        <v>样本较少，仅供参考</v>
      </c>
    </row>
    <row r="120">
      <c r="A120" t="str">
        <v>有色金属</v>
      </c>
      <c r="B120">
        <v>0.1770567644437318</v>
      </c>
      <c r="C120">
        <v>0.5</v>
      </c>
      <c r="D120">
        <v>4</v>
      </c>
      <c r="E120">
        <v>0.8707748595416774</v>
      </c>
    </row>
    <row r="121">
      <c r="A121" t="str">
        <v>基础化工</v>
      </c>
      <c r="B121">
        <v>-0.04656122968381437</v>
      </c>
      <c r="C121">
        <v>0.3333333333333333</v>
      </c>
      <c r="D121">
        <v>3</v>
      </c>
      <c r="E121">
        <v>0.179874924953078</v>
      </c>
    </row>
    <row r="122">
      <c r="A122" t="str">
        <v>家用电器/电子</v>
      </c>
      <c r="B122">
        <v>0.0747330960854092</v>
      </c>
      <c r="C122">
        <v>1</v>
      </c>
      <c r="D122">
        <v>1</v>
      </c>
      <c r="E122">
        <v>0</v>
      </c>
      <c r="F122" t="str">
        <v>样本较少，仅供参考</v>
      </c>
    </row>
    <row r="123">
      <c r="A123" t="str">
        <v>计算机</v>
      </c>
      <c r="B123">
        <v>-0.06812265455636907</v>
      </c>
      <c r="C123">
        <v>0.2857142857142857</v>
      </c>
      <c r="D123">
        <v>7</v>
      </c>
      <c r="E123">
        <v>0.9343061871289969</v>
      </c>
    </row>
    <row r="124">
      <c r="A124" t="str">
        <v>传媒</v>
      </c>
      <c r="B124">
        <v>-0.0634715025906735</v>
      </c>
      <c r="C124">
        <v>0</v>
      </c>
      <c r="D124">
        <v>1</v>
      </c>
      <c r="E124">
        <v>0</v>
      </c>
      <c r="F124" t="str">
        <v>样本较少，仅供参考</v>
      </c>
    </row>
    <row r="125">
      <c r="A125" t="str">
        <v>电力设备</v>
      </c>
      <c r="B125">
        <v>0.001241681152417221</v>
      </c>
      <c r="C125">
        <v>0.5</v>
      </c>
      <c r="D125">
        <v>12</v>
      </c>
      <c r="E125">
        <v>0.8150814659854371</v>
      </c>
    </row>
    <row r="126">
      <c r="A126" t="str">
        <v>建筑工程/电力设备</v>
      </c>
      <c r="B126">
        <v>-0.15779702970297</v>
      </c>
      <c r="C126">
        <v>0</v>
      </c>
      <c r="D126">
        <v>1</v>
      </c>
      <c r="E126">
        <v>0</v>
      </c>
      <c r="F126" t="str">
        <v>样本较少，仅供参考</v>
      </c>
    </row>
    <row r="127">
      <c r="A127" t="str">
        <v>医药生物</v>
      </c>
      <c r="B127">
        <v>-0.1870018448660945</v>
      </c>
      <c r="C127">
        <v>0</v>
      </c>
      <c r="D127">
        <v>2</v>
      </c>
      <c r="E127">
        <v>0.145413219888803</v>
      </c>
      <c r="F127" t="str">
        <v>样本较少，仅供参考</v>
      </c>
    </row>
    <row r="128">
      <c r="A128" t="str">
        <v>建筑装饰</v>
      </c>
      <c r="B128">
        <v>-0.1477459016393445</v>
      </c>
      <c r="C128">
        <v>0</v>
      </c>
      <c r="D128">
        <v>2</v>
      </c>
      <c r="E128">
        <v>0.04549180327868901</v>
      </c>
      <c r="F128" t="str">
        <v>样本较少，仅供参考</v>
      </c>
    </row>
    <row r="129">
      <c r="A129" t="str">
        <v>汽车</v>
      </c>
      <c r="B129">
        <v>-0.06733806852348916</v>
      </c>
      <c r="C129">
        <v>0.5</v>
      </c>
      <c r="D129">
        <v>2</v>
      </c>
      <c r="E129">
        <v>0.1883967385120857</v>
      </c>
      <c r="F129" t="str">
        <v>样本较少，仅供参考</v>
      </c>
    </row>
  </sheetData>
  <mergeCells count="8">
    <mergeCell ref="A115:N115"/>
    <mergeCell ref="A1:N1"/>
    <mergeCell ref="A22:N22"/>
    <mergeCell ref="A88:N88"/>
    <mergeCell ref="A4:N4"/>
    <mergeCell ref="A62:N62"/>
    <mergeCell ref="A2:N2"/>
    <mergeCell ref="A41:N41"/>
  </mergeCells>
  <pageMargins left="0.75" right="0.75" top="1" bottom="1" header="0.5" footer="0.5"/>
  <ignoredErrors>
    <ignoredError numberStoredAsText="1" sqref="A1:N12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M118"/>
  <sheetViews>
    <sheetView workbookViewId="0" rightToLeft="0"/>
  </sheetViews>
  <sheetData>
    <row r="1">
      <c r="A1" t="str">
        <v>个股收益可视化分析包 · 图表总览（可直接复制至PPT/Word）</v>
      </c>
    </row>
    <row r="2">
      <c r="A2" t="str">
        <v>一、个股收益排行榜</v>
      </c>
    </row>
    <row r="23">
      <c r="A23" t="str">
        <v>📌 Top10平均收益 +44.0%，最高为云南锗业(+79.6%)；正收益10支均超+10%</v>
      </c>
      <c r="H23" t="str">
        <v>📌 Bottom10平均收益 -26.0%，集中在计算机/电力设备；最大跌幅科华数据②(-47.2%)</v>
      </c>
    </row>
    <row r="24">
      <c r="A24" t="str">
        <v>二、收益分布</v>
      </c>
    </row>
    <row r="43">
      <c r="A43" t="str">
        <v>📌 正收益28支(52.8%)，分布偏右尾（少数大涨拉高均值）；-10%~0%区间最多(13支)，说明轻微亏损是主要风险来源</v>
      </c>
    </row>
    <row r="44">
      <c r="A44" t="str">
        <v>三、行业大类平均收益</v>
      </c>
    </row>
    <row r="68">
      <c r="A68" t="str">
        <v>📌 机械设备/新材料表现最强；计算机/医药/建筑装饰整体偏弱；电力设备覆盖最广(12支)但内部分化大</v>
      </c>
    </row>
    <row r="69">
      <c r="A69" t="str">
        <v>四、推荐批次表现趋势</v>
      </c>
    </row>
    <row r="90">
      <c r="A90" t="str">
        <v>📌 2月27日、4月8日批次表现最强；3月5-10日和5月18日批次受市场环境影响较大，平均收益为负</v>
      </c>
    </row>
    <row r="91">
      <c r="A91" t="str">
        <v>五、收益 × 效率四象限（内部复盘用）</v>
      </c>
    </row>
    <row r="118">
      <c r="A118" t="str">
        <v>📌 右上角（高收益+高效率）为最优标的：东山精密、云南锗业等；左下角（亏损+低效率）为重点复盘标的：北信源、科华数据②等</v>
      </c>
    </row>
  </sheetData>
  <mergeCells count="12">
    <mergeCell ref="A90:M90"/>
    <mergeCell ref="A68:M68"/>
    <mergeCell ref="A44:M44"/>
    <mergeCell ref="A1:M1"/>
    <mergeCell ref="A118:M118"/>
    <mergeCell ref="H23:M23"/>
    <mergeCell ref="A91:M91"/>
    <mergeCell ref="A69:M69"/>
    <mergeCell ref="A43:M43"/>
    <mergeCell ref="A24:M24"/>
    <mergeCell ref="A2:M2"/>
    <mergeCell ref="A23:G23"/>
  </mergeCells>
  <pageMargins left="0.75" right="0.75" top="1" bottom="1" header="0.5" footer="0.5"/>
  <ignoredErrors>
    <ignoredError numberStoredAsText="1" sqref="A1:M11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F54"/>
  <sheetViews>
    <sheetView workbookViewId="0" rightToLeft="0"/>
  </sheetViews>
  <sheetData>
    <row r="1">
      <c r="A1" t="str">
        <v>个股名称</v>
      </c>
      <c r="B1" t="str">
        <v>代码</v>
      </c>
      <c r="C1" t="str">
        <v>区间涨跌幅</v>
      </c>
      <c r="D1" t="str">
        <v>最高涨幅（%）</v>
      </c>
      <c r="E1" t="str">
        <v>收益回吐</v>
      </c>
      <c r="F1" t="str">
        <v>行业大类</v>
      </c>
    </row>
    <row r="2">
      <c r="A2" t="str">
        <v>科华数据</v>
      </c>
      <c r="B2" t="str">
        <v>002335</v>
      </c>
      <c r="C2">
        <v>-0.472089552238806</v>
      </c>
      <c r="D2">
        <v>0.071</v>
      </c>
      <c r="E2">
        <v>0.543089552238806</v>
      </c>
      <c r="F2" t="str">
        <v>电力设备</v>
      </c>
    </row>
    <row r="3">
      <c r="A3" t="str">
        <v>北信源</v>
      </c>
      <c r="B3" t="str">
        <v>300352</v>
      </c>
      <c r="C3">
        <v>-0.397905759162304</v>
      </c>
      <c r="D3">
        <v>0.1141</v>
      </c>
      <c r="E3">
        <v>0.512005759162304</v>
      </c>
      <c r="F3" t="str">
        <v>计算机</v>
      </c>
    </row>
    <row r="4">
      <c r="A4" t="str">
        <v>首都在线</v>
      </c>
      <c r="B4" t="str">
        <v>300846</v>
      </c>
      <c r="C4">
        <v>-0.3339700732250875</v>
      </c>
      <c r="D4">
        <v>0.0432</v>
      </c>
      <c r="E4">
        <v>0.3771700732250875</v>
      </c>
      <c r="F4" t="str">
        <v>计算机</v>
      </c>
    </row>
    <row r="5">
      <c r="A5" t="str">
        <v>利亚德</v>
      </c>
      <c r="B5" t="str">
        <v>300296</v>
      </c>
      <c r="C5">
        <v>-0.236658932714617</v>
      </c>
      <c r="D5">
        <v>0.0812</v>
      </c>
      <c r="E5">
        <v>0.317858932714617</v>
      </c>
      <c r="F5" t="str">
        <v>电子</v>
      </c>
    </row>
    <row r="6">
      <c r="A6" t="str">
        <v>湖南裕能</v>
      </c>
      <c r="B6" t="str">
        <v>301358</v>
      </c>
      <c r="C6">
        <v>-0.2735232067510548</v>
      </c>
      <c r="D6">
        <v>0.0156</v>
      </c>
      <c r="E6">
        <v>0.2891232067510548</v>
      </c>
      <c r="F6" t="str">
        <v>电力设备</v>
      </c>
    </row>
    <row r="7">
      <c r="A7" t="str">
        <v>三生国健</v>
      </c>
      <c r="B7" t="str">
        <v>688336</v>
      </c>
      <c r="C7">
        <v>-0.259708454810496</v>
      </c>
      <c r="D7">
        <v>0.028</v>
      </c>
      <c r="E7">
        <v>0.287708454810496</v>
      </c>
      <c r="F7" t="str">
        <v>医药生物</v>
      </c>
    </row>
    <row r="8">
      <c r="A8" t="str">
        <v>美湖股份</v>
      </c>
      <c r="B8" t="str">
        <v>603319</v>
      </c>
      <c r="C8">
        <v>-0.161536437779532</v>
      </c>
      <c r="D8">
        <v>0.0881</v>
      </c>
      <c r="E8">
        <v>0.249636437779532</v>
      </c>
      <c r="F8" t="str">
        <v>汽车</v>
      </c>
    </row>
    <row r="9">
      <c r="A9" t="str">
        <v>安光电</v>
      </c>
      <c r="B9" t="str">
        <v>600703</v>
      </c>
      <c r="C9">
        <v>-0.113583138173302</v>
      </c>
      <c r="D9">
        <v>0.1001</v>
      </c>
      <c r="E9">
        <v>0.213683138173302</v>
      </c>
      <c r="F9" t="str">
        <v>电子</v>
      </c>
    </row>
    <row r="10">
      <c r="A10" t="str">
        <v>永福股份</v>
      </c>
      <c r="B10" t="str">
        <v>300712</v>
      </c>
      <c r="C10">
        <v>-0.15779702970297</v>
      </c>
      <c r="D10">
        <v>0.0534</v>
      </c>
      <c r="E10">
        <v>0.21119702970297</v>
      </c>
      <c r="F10" t="str">
        <v>建筑工程/电力设备</v>
      </c>
    </row>
    <row r="11">
      <c r="A11" t="str">
        <v>万兴科技</v>
      </c>
      <c r="B11" t="str">
        <v>300624</v>
      </c>
      <c r="C11">
        <v>-0.112093660480757</v>
      </c>
      <c r="D11">
        <v>0.0985</v>
      </c>
      <c r="E11">
        <v>0.210593660480757</v>
      </c>
      <c r="F11" t="str">
        <v>计算机</v>
      </c>
    </row>
    <row r="12">
      <c r="A12" t="str">
        <v>湖北宜化</v>
      </c>
      <c r="B12" t="str">
        <v>000422</v>
      </c>
      <c r="C12">
        <v>-0.119321291735085</v>
      </c>
      <c r="D12">
        <v>0.0784</v>
      </c>
      <c r="E12">
        <v>0.197721291735085</v>
      </c>
      <c r="F12" t="str">
        <v>基础化工</v>
      </c>
    </row>
    <row r="13">
      <c r="A13" t="str">
        <v>顺网科技</v>
      </c>
      <c r="B13" t="str">
        <v>300113</v>
      </c>
      <c r="C13">
        <v>-0.0634715025906735</v>
      </c>
      <c r="D13">
        <v>0.1323</v>
      </c>
      <c r="E13">
        <v>0.1957715025906735</v>
      </c>
      <c r="F13" t="str">
        <v>传媒</v>
      </c>
    </row>
    <row r="14">
      <c r="A14" t="str">
        <v>乾照光电</v>
      </c>
      <c r="B14" t="str">
        <v>300102</v>
      </c>
      <c r="C14">
        <v>-0.111647727272727</v>
      </c>
      <c r="D14">
        <v>0.0793</v>
      </c>
      <c r="E14">
        <v>0.190947727272727</v>
      </c>
      <c r="F14" t="str">
        <v>电子</v>
      </c>
    </row>
    <row r="15">
      <c r="A15" t="str">
        <v>森特股份</v>
      </c>
      <c r="B15" t="str">
        <v>603098</v>
      </c>
      <c r="C15">
        <v>-0.170491803278689</v>
      </c>
      <c r="D15">
        <v>0.018</v>
      </c>
      <c r="E15">
        <v>0.188491803278689</v>
      </c>
      <c r="F15" t="str">
        <v>建筑装饰</v>
      </c>
    </row>
    <row r="16">
      <c r="A16" t="str">
        <v>海博思创</v>
      </c>
      <c r="B16" t="str">
        <v>688411</v>
      </c>
      <c r="C16">
        <v>-0.09962686567164175</v>
      </c>
      <c r="D16">
        <v>0.0823</v>
      </c>
      <c r="E16">
        <v>0.1819268656716417</v>
      </c>
      <c r="F16" t="str">
        <v>电力设备</v>
      </c>
    </row>
    <row r="17">
      <c r="A17" t="str">
        <v>华鲁恒升</v>
      </c>
      <c r="B17" t="str">
        <v>600426</v>
      </c>
      <c r="C17">
        <v>-0.0809160305343511</v>
      </c>
      <c r="D17">
        <v>0.0943</v>
      </c>
      <c r="E17">
        <v>0.1752160305343511</v>
      </c>
      <c r="F17" t="str">
        <v>基础化工</v>
      </c>
    </row>
    <row r="18">
      <c r="A18" t="str">
        <v>拓维信息</v>
      </c>
      <c r="B18" t="str">
        <v>002261</v>
      </c>
      <c r="C18">
        <v>-0.104389086595492</v>
      </c>
      <c r="D18">
        <v>0.0707</v>
      </c>
      <c r="E18">
        <v>0.175089086595492</v>
      </c>
      <c r="F18" t="str">
        <v>计算机</v>
      </c>
    </row>
    <row r="19">
      <c r="A19" t="str">
        <v>华明装备</v>
      </c>
      <c r="B19" t="str">
        <v>002270</v>
      </c>
      <c r="C19">
        <v>-0.131826741996234</v>
      </c>
      <c r="D19">
        <v>0.0423</v>
      </c>
      <c r="E19">
        <v>0.174126741996234</v>
      </c>
      <c r="F19" t="str">
        <v>电力设备</v>
      </c>
    </row>
    <row r="20">
      <c r="A20" t="str">
        <v>金杯电工</v>
      </c>
      <c r="B20" t="str">
        <v>002533</v>
      </c>
      <c r="C20">
        <v>-0.119242902208202</v>
      </c>
      <c r="D20">
        <v>0.0503</v>
      </c>
      <c r="E20">
        <v>0.169542902208202</v>
      </c>
      <c r="F20" t="str">
        <v>电力设备</v>
      </c>
    </row>
    <row r="21">
      <c r="A21" t="str">
        <v>欣旺达</v>
      </c>
      <c r="B21" t="str">
        <v>300207</v>
      </c>
      <c r="C21">
        <v>-0.118825561312608</v>
      </c>
      <c r="D21">
        <v>0.0491</v>
      </c>
      <c r="E21">
        <v>0.167925561312608</v>
      </c>
      <c r="F21" t="str">
        <v>电力设备</v>
      </c>
    </row>
    <row r="22">
      <c r="A22" t="str">
        <v>中科创达</v>
      </c>
      <c r="B22" t="str">
        <v>300496</v>
      </c>
      <c r="C22">
        <v>-0.0816666666666666</v>
      </c>
      <c r="D22">
        <v>0.0804</v>
      </c>
      <c r="E22">
        <v>0.1620666666666666</v>
      </c>
      <c r="F22" t="str">
        <v>计算机</v>
      </c>
    </row>
    <row r="23">
      <c r="A23" t="str">
        <v>舒泰神</v>
      </c>
      <c r="B23" t="str">
        <v>300204</v>
      </c>
      <c r="C23">
        <v>-0.114295234921693</v>
      </c>
      <c r="D23">
        <v>0.0427</v>
      </c>
      <c r="E23">
        <v>0.156995234921693</v>
      </c>
      <c r="F23" t="str">
        <v>医药生物</v>
      </c>
    </row>
    <row r="24">
      <c r="A24" t="str">
        <v>江河集团</v>
      </c>
      <c r="B24" t="str">
        <v>601886</v>
      </c>
      <c r="C24">
        <v>-0.125</v>
      </c>
      <c r="D24">
        <v>0.0227</v>
      </c>
      <c r="E24">
        <v>0.1477</v>
      </c>
      <c r="F24" t="str">
        <v>建筑装饰</v>
      </c>
    </row>
    <row r="25">
      <c r="A25" t="str">
        <v>中国铝业</v>
      </c>
      <c r="B25" t="str">
        <v>601600</v>
      </c>
      <c r="C25">
        <v>-0.0464135021097046</v>
      </c>
      <c r="D25">
        <v>0.101</v>
      </c>
      <c r="E25">
        <v>0.1474135021097046</v>
      </c>
      <c r="F25" t="str">
        <v>有色金属</v>
      </c>
    </row>
    <row r="26">
      <c r="A26" t="str">
        <v>神火股份</v>
      </c>
      <c r="B26" t="str">
        <v>000933</v>
      </c>
      <c r="C26">
        <v>-0.0749844430616055</v>
      </c>
      <c r="D26">
        <v>0.0624</v>
      </c>
      <c r="E26">
        <v>0.1373844430616055</v>
      </c>
      <c r="F26" t="str">
        <v>有色金属</v>
      </c>
    </row>
    <row r="27">
      <c r="A27" t="str">
        <v>优刻得</v>
      </c>
      <c r="B27" t="str">
        <v>688158</v>
      </c>
      <c r="C27">
        <v>0.0167662362690306</v>
      </c>
      <c r="D27">
        <v>0.1395</v>
      </c>
      <c r="E27">
        <v>0.1227337637309694</v>
      </c>
      <c r="F27" t="str">
        <v>计算机</v>
      </c>
    </row>
    <row r="28">
      <c r="A28" t="str">
        <v>风华高科</v>
      </c>
      <c r="B28" t="str">
        <v>000636</v>
      </c>
      <c r="C28">
        <v>0.00439297124600637</v>
      </c>
      <c r="D28">
        <v>0.1</v>
      </c>
      <c r="E28">
        <v>0.09560702875399364</v>
      </c>
      <c r="F28" t="str">
        <v>电子</v>
      </c>
    </row>
    <row r="29">
      <c r="A29" t="str">
        <v>容百科技</v>
      </c>
      <c r="B29" t="str">
        <v>688005</v>
      </c>
      <c r="C29">
        <v>0.0177842565597667</v>
      </c>
      <c r="D29">
        <v>0.0959</v>
      </c>
      <c r="E29">
        <v>0.0781157434402333</v>
      </c>
      <c r="F29" t="str">
        <v>电力设备</v>
      </c>
    </row>
    <row r="30">
      <c r="A30" t="str">
        <v>瑞芯微</v>
      </c>
      <c r="B30" t="str">
        <v>603893</v>
      </c>
      <c r="C30">
        <v>0.00700778642936591</v>
      </c>
      <c r="D30">
        <v>0.0803</v>
      </c>
      <c r="E30">
        <v>0.07329221357063409</v>
      </c>
      <c r="F30" t="str">
        <v>电子</v>
      </c>
    </row>
    <row r="31">
      <c r="A31" t="str">
        <v>浙江荣泰</v>
      </c>
      <c r="B31" t="str">
        <v>603119</v>
      </c>
      <c r="C31">
        <v>0.0268603007325537</v>
      </c>
      <c r="D31">
        <v>0.1</v>
      </c>
      <c r="E31">
        <v>0.0731396992674463</v>
      </c>
      <c r="F31" t="str">
        <v>汽车</v>
      </c>
    </row>
    <row r="32">
      <c r="A32" t="str">
        <v>达利凯普</v>
      </c>
      <c r="B32" t="str">
        <v>301566</v>
      </c>
      <c r="C32">
        <v>0.00708661417322834</v>
      </c>
      <c r="D32">
        <v>0.0735</v>
      </c>
      <c r="E32">
        <v>0.06641338582677166</v>
      </c>
      <c r="F32" t="str">
        <v>电子</v>
      </c>
    </row>
    <row r="33">
      <c r="A33" t="str">
        <v>鼎胜新材</v>
      </c>
      <c r="B33" t="str">
        <v>603876</v>
      </c>
      <c r="C33">
        <v>0.0338345864661654</v>
      </c>
      <c r="D33">
        <v>0.1</v>
      </c>
      <c r="E33">
        <v>0.06616541353383461</v>
      </c>
      <c r="F33" t="str">
        <v>有色金属</v>
      </c>
    </row>
    <row r="34">
      <c r="A34" t="str">
        <v>华灿光电</v>
      </c>
      <c r="B34" t="str">
        <v>300323</v>
      </c>
      <c r="C34">
        <v>0.107732406602954</v>
      </c>
      <c r="D34">
        <v>0.1649</v>
      </c>
      <c r="E34">
        <v>0.057167593397046</v>
      </c>
      <c r="F34" t="str">
        <v>电子</v>
      </c>
    </row>
    <row r="35">
      <c r="A35" t="str">
        <v>法拉电子</v>
      </c>
      <c r="B35" t="str">
        <v>600563</v>
      </c>
      <c r="C35">
        <v>0.043109243697479</v>
      </c>
      <c r="D35">
        <v>0.0823</v>
      </c>
      <c r="E35">
        <v>0.039190756302521</v>
      </c>
      <c r="F35" t="str">
        <v>电子</v>
      </c>
    </row>
    <row r="36">
      <c r="A36" t="str">
        <v>兆驰股份</v>
      </c>
      <c r="B36" t="str">
        <v>002429</v>
      </c>
      <c r="C36">
        <v>0.0747330960854092</v>
      </c>
      <c r="D36">
        <v>0.1005</v>
      </c>
      <c r="E36">
        <v>0.0257669039145908</v>
      </c>
      <c r="F36" t="str">
        <v>家用电器/电子</v>
      </c>
    </row>
    <row r="37">
      <c r="A37" t="str">
        <v>新相微</v>
      </c>
      <c r="B37" t="str">
        <v>688593</v>
      </c>
      <c r="C37">
        <v>0.137891737891738</v>
      </c>
      <c r="D37">
        <v>0.1631</v>
      </c>
      <c r="E37">
        <v>0.02520826210826199</v>
      </c>
      <c r="F37" t="str">
        <v>电子</v>
      </c>
    </row>
    <row r="38">
      <c r="A38" t="str">
        <v>科华数据</v>
      </c>
      <c r="B38" t="str">
        <v>002335</v>
      </c>
      <c r="C38">
        <v>0.0948419301164725</v>
      </c>
      <c r="D38">
        <v>0.1</v>
      </c>
      <c r="E38">
        <v>0.005158069883527502</v>
      </c>
      <c r="F38" t="str">
        <v>电力设备</v>
      </c>
    </row>
    <row r="39">
      <c r="A39" t="str">
        <v>永太科技</v>
      </c>
      <c r="B39" t="str">
        <v>002326</v>
      </c>
      <c r="C39">
        <v>0.060553633217993</v>
      </c>
      <c r="D39">
        <v>0.0623</v>
      </c>
      <c r="E39">
        <v>0.001746366782007</v>
      </c>
      <c r="F39" t="str">
        <v>基础化工</v>
      </c>
    </row>
    <row r="40">
      <c r="A40" t="str">
        <v>国瓷材料</v>
      </c>
      <c r="B40" t="str">
        <v>300285</v>
      </c>
      <c r="C40">
        <v>0.109899569583931</v>
      </c>
      <c r="D40">
        <v>0.1107</v>
      </c>
      <c r="E40">
        <v>0.0008004304160690034</v>
      </c>
      <c r="F40" t="str">
        <v>新材料</v>
      </c>
    </row>
    <row r="41">
      <c r="A41" t="str">
        <v>协创数据</v>
      </c>
      <c r="B41" t="str">
        <v>300857</v>
      </c>
      <c r="C41">
        <v>0.199825043739065</v>
      </c>
      <c r="D41">
        <v>0.2</v>
      </c>
      <c r="E41">
        <v>0.0001749562609349997</v>
      </c>
      <c r="F41" t="str">
        <v>电子</v>
      </c>
    </row>
    <row r="42">
      <c r="A42" t="str">
        <v>华锐精密</v>
      </c>
      <c r="B42" t="str">
        <v>688059</v>
      </c>
      <c r="C42">
        <v>0.194661458333333</v>
      </c>
      <c r="D42">
        <v>0.1724</v>
      </c>
      <c r="E42">
        <v>-0.02226145833333301</v>
      </c>
      <c r="F42" t="str">
        <v>机械设备</v>
      </c>
    </row>
    <row r="43">
      <c r="A43" t="str">
        <v>伊戈尔</v>
      </c>
      <c r="B43" t="str">
        <v>002922</v>
      </c>
      <c r="C43">
        <v>0.161425061425061</v>
      </c>
      <c r="D43">
        <v>0.1</v>
      </c>
      <c r="E43">
        <v>-0.06142506142506099</v>
      </c>
      <c r="F43" t="str">
        <v>电力设备</v>
      </c>
    </row>
    <row r="44">
      <c r="A44" t="str">
        <v>四方达</v>
      </c>
      <c r="B44" t="str">
        <v>300179</v>
      </c>
      <c r="C44">
        <v>0.168094655242758</v>
      </c>
      <c r="D44">
        <v>0.0747</v>
      </c>
      <c r="E44">
        <v>-0.09339465524275799</v>
      </c>
      <c r="F44" t="str">
        <v>新材料</v>
      </c>
    </row>
    <row r="45">
      <c r="A45" t="str">
        <v>香农芯创</v>
      </c>
      <c r="B45" t="str">
        <v>300475</v>
      </c>
      <c r="C45">
        <v>0.298332303891291</v>
      </c>
      <c r="D45">
        <v>0.2</v>
      </c>
      <c r="E45">
        <v>-0.098332303891291</v>
      </c>
      <c r="F45" t="str">
        <v>电子</v>
      </c>
    </row>
    <row r="46">
      <c r="A46" t="str">
        <v>新锐股份</v>
      </c>
      <c r="B46" t="str">
        <v>688257</v>
      </c>
      <c r="C46">
        <v>0.267054908485857</v>
      </c>
      <c r="D46">
        <v>0.1497</v>
      </c>
      <c r="E46">
        <v>-0.117354908485857</v>
      </c>
      <c r="F46" t="str">
        <v>机械设备</v>
      </c>
    </row>
    <row r="47">
      <c r="A47" t="str">
        <v>新风光</v>
      </c>
      <c r="B47" t="str">
        <v>688663</v>
      </c>
      <c r="C47">
        <v>0.283328492593668</v>
      </c>
      <c r="D47">
        <v>0.1596</v>
      </c>
      <c r="E47">
        <v>-0.123728492593668</v>
      </c>
      <c r="F47" t="str">
        <v>电力设备</v>
      </c>
    </row>
    <row r="48">
      <c r="A48" t="str">
        <v>力量钻石</v>
      </c>
      <c r="B48" t="str">
        <v>301071</v>
      </c>
      <c r="C48">
        <v>0.274776785714286</v>
      </c>
      <c r="D48">
        <v>0.094</v>
      </c>
      <c r="E48">
        <v>-0.180776785714286</v>
      </c>
      <c r="F48" t="str">
        <v>新材料</v>
      </c>
    </row>
    <row r="49">
      <c r="A49" t="str">
        <v>特锐德</v>
      </c>
      <c r="B49" t="str">
        <v>300001</v>
      </c>
      <c r="C49">
        <v>0.342991913746631</v>
      </c>
      <c r="D49">
        <v>0.1199</v>
      </c>
      <c r="E49">
        <v>-0.223091913746631</v>
      </c>
      <c r="F49" t="str">
        <v>电力设备</v>
      </c>
    </row>
    <row r="50">
      <c r="A50" t="str">
        <v>天赐材料</v>
      </c>
      <c r="B50" t="str">
        <v>002709</v>
      </c>
      <c r="C50">
        <v>0.329663349565954</v>
      </c>
      <c r="D50">
        <v>0.0939</v>
      </c>
      <c r="E50">
        <v>-0.235763349565954</v>
      </c>
      <c r="F50" t="str">
        <v>电力设备</v>
      </c>
    </row>
    <row r="51">
      <c r="A51" t="str">
        <v>宏景科技</v>
      </c>
      <c r="B51" t="str">
        <v>301396</v>
      </c>
      <c r="C51">
        <v>0.536400427966693</v>
      </c>
      <c r="D51">
        <v>0.2</v>
      </c>
      <c r="E51">
        <v>-0.3364004279666929</v>
      </c>
      <c r="F51" t="str">
        <v>计算机</v>
      </c>
    </row>
    <row r="52">
      <c r="A52" t="str">
        <v>海光信息</v>
      </c>
      <c r="B52" t="str">
        <v>688041</v>
      </c>
      <c r="C52">
        <v>0.510835913312694</v>
      </c>
      <c r="D52">
        <v>0.1626</v>
      </c>
      <c r="E52">
        <v>-0.348235913312694</v>
      </c>
      <c r="F52" t="str">
        <v>电子</v>
      </c>
    </row>
    <row r="53">
      <c r="A53" t="str">
        <v>东山精密</v>
      </c>
      <c r="B53" t="str">
        <v>002384</v>
      </c>
      <c r="C53">
        <v>0.760236844299892</v>
      </c>
      <c r="D53">
        <v>0.1</v>
      </c>
      <c r="E53">
        <v>-0.660236844299892</v>
      </c>
      <c r="F53" t="str">
        <v>电子</v>
      </c>
    </row>
    <row r="54">
      <c r="A54" t="str">
        <v>云南锗业</v>
      </c>
      <c r="B54" t="str">
        <v>002428</v>
      </c>
      <c r="C54">
        <v>0.795790416480072</v>
      </c>
      <c r="D54">
        <v>0.1001</v>
      </c>
      <c r="E54">
        <v>-0.695690416480072</v>
      </c>
      <c r="F54" t="str">
        <v>有色金属</v>
      </c>
    </row>
  </sheetData>
  <autoFilter ref="A1:F54"/>
  <pageMargins left="0.75" right="0.75" top="1" bottom="1" header="0.5" footer="0.5"/>
  <ignoredErrors>
    <ignoredError numberStoredAsText="1" sqref="A1:F5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G18"/>
  <sheetViews>
    <sheetView workbookViewId="0" rightToLeft="0"/>
  </sheetViews>
  <sheetData>
    <row r="1">
      <c r="A1" t="str">
        <v>个股推荐日期</v>
      </c>
      <c r="B1" t="str">
        <v>推荐数量</v>
      </c>
      <c r="C1" t="str">
        <v>平均区间涨跌幅</v>
      </c>
      <c r="D1" t="str">
        <v>正收益数量</v>
      </c>
      <c r="E1" t="str">
        <v>正收益占比</v>
      </c>
      <c r="F1" t="str">
        <v>最高区间涨跌幅</v>
      </c>
      <c r="G1" t="str">
        <v>最低区间涨跌幅</v>
      </c>
    </row>
    <row r="2">
      <c r="A2">
        <v>46078</v>
      </c>
      <c r="B2">
        <v>3</v>
      </c>
      <c r="C2">
        <v>0.04045971833438857</v>
      </c>
      <c r="D2">
        <v>3</v>
      </c>
      <c r="E2">
        <v>1</v>
      </c>
      <c r="F2">
        <v>0.109899569583931</v>
      </c>
      <c r="G2">
        <v>0.00439297124600637</v>
      </c>
    </row>
    <row r="3">
      <c r="A3">
        <v>46080</v>
      </c>
      <c r="B3">
        <v>3</v>
      </c>
      <c r="C3">
        <v>0.4191689277664207</v>
      </c>
      <c r="D3">
        <v>3</v>
      </c>
      <c r="E3">
        <v>1</v>
      </c>
      <c r="F3">
        <v>0.795790416480072</v>
      </c>
      <c r="G3">
        <v>0.194661458333333</v>
      </c>
    </row>
    <row r="4">
      <c r="A4">
        <v>46086</v>
      </c>
      <c r="B4">
        <v>2</v>
      </c>
      <c r="C4">
        <v>-0.1001186611347181</v>
      </c>
      <c r="D4">
        <v>0</v>
      </c>
      <c r="E4">
        <v>0</v>
      </c>
      <c r="F4">
        <v>-0.0809160305343511</v>
      </c>
      <c r="G4">
        <v>-0.119321291735085</v>
      </c>
    </row>
    <row r="5">
      <c r="A5">
        <v>46087</v>
      </c>
      <c r="B5">
        <v>6</v>
      </c>
      <c r="C5">
        <v>-0.02358875959675746</v>
      </c>
      <c r="D5">
        <v>3</v>
      </c>
      <c r="E5">
        <v>0.5</v>
      </c>
      <c r="F5">
        <v>0.137891737891738</v>
      </c>
      <c r="G5">
        <v>-0.236658932714617</v>
      </c>
    </row>
    <row r="6">
      <c r="A6">
        <v>46091</v>
      </c>
      <c r="B6">
        <v>7</v>
      </c>
      <c r="C6">
        <v>-0.1051075218282138</v>
      </c>
      <c r="D6">
        <v>2</v>
      </c>
      <c r="E6">
        <v>0.2857142857142857</v>
      </c>
      <c r="F6">
        <v>0.0167662362690306</v>
      </c>
      <c r="G6">
        <v>-0.397905759162304</v>
      </c>
    </row>
    <row r="7">
      <c r="A7">
        <v>46093</v>
      </c>
      <c r="B7">
        <v>3</v>
      </c>
      <c r="C7">
        <v>-0.077976896071231</v>
      </c>
      <c r="D7">
        <v>1</v>
      </c>
      <c r="E7">
        <v>0.3333333333333333</v>
      </c>
      <c r="F7">
        <v>0.043109243697479</v>
      </c>
      <c r="G7">
        <v>-0.15779702970297</v>
      </c>
    </row>
    <row r="8">
      <c r="A8">
        <v>46111</v>
      </c>
      <c r="B8">
        <v>2</v>
      </c>
      <c r="C8">
        <v>0.1951084913919735</v>
      </c>
      <c r="D8">
        <v>2</v>
      </c>
      <c r="E8">
        <v>1</v>
      </c>
      <c r="F8">
        <v>0.329663349565954</v>
      </c>
      <c r="G8">
        <v>0.060553633217993</v>
      </c>
    </row>
    <row r="9">
      <c r="A9">
        <v>46120</v>
      </c>
      <c r="B9">
        <v>3</v>
      </c>
      <c r="C9">
        <v>0.5231350205012923</v>
      </c>
      <c r="D9">
        <v>3</v>
      </c>
      <c r="E9">
        <v>1</v>
      </c>
      <c r="F9">
        <v>0.760236844299892</v>
      </c>
      <c r="G9">
        <v>0.298332303891291</v>
      </c>
    </row>
    <row r="10">
      <c r="A10">
        <v>46126</v>
      </c>
      <c r="B10">
        <v>4</v>
      </c>
      <c r="C10">
        <v>0.1780604601274056</v>
      </c>
      <c r="D10">
        <v>3</v>
      </c>
      <c r="E10">
        <v>0.75</v>
      </c>
      <c r="F10">
        <v>0.536400427966693</v>
      </c>
      <c r="G10">
        <v>-0.118825561312608</v>
      </c>
    </row>
    <row r="11">
      <c r="A11">
        <v>46127</v>
      </c>
      <c r="B11">
        <v>2</v>
      </c>
      <c r="C11">
        <v>0.221435720478522</v>
      </c>
      <c r="D11">
        <v>2</v>
      </c>
      <c r="E11">
        <v>1</v>
      </c>
      <c r="F11">
        <v>0.274776785714286</v>
      </c>
      <c r="G11">
        <v>0.168094655242758</v>
      </c>
    </row>
    <row r="12">
      <c r="A12">
        <v>46132</v>
      </c>
      <c r="B12">
        <v>2</v>
      </c>
      <c r="C12">
        <v>-0.1870018448660945</v>
      </c>
      <c r="D12">
        <v>0</v>
      </c>
      <c r="E12">
        <v>0</v>
      </c>
      <c r="F12">
        <v>-0.114295234921693</v>
      </c>
      <c r="G12">
        <v>-0.259708454810496</v>
      </c>
    </row>
    <row r="13">
      <c r="A13">
        <v>46134</v>
      </c>
      <c r="B13">
        <v>2</v>
      </c>
      <c r="C13">
        <v>0.02580942151296605</v>
      </c>
      <c r="D13">
        <v>2</v>
      </c>
      <c r="E13">
        <v>1</v>
      </c>
      <c r="F13">
        <v>0.0338345864661654</v>
      </c>
      <c r="G13">
        <v>0.0177842565597667</v>
      </c>
    </row>
    <row r="14">
      <c r="A14">
        <v>46136</v>
      </c>
      <c r="B14">
        <v>4</v>
      </c>
      <c r="C14">
        <v>-0.1075419850814168</v>
      </c>
      <c r="D14">
        <v>1</v>
      </c>
      <c r="E14">
        <v>0.25</v>
      </c>
      <c r="F14">
        <v>0.0268603007325537</v>
      </c>
      <c r="G14">
        <v>-0.170491803278689</v>
      </c>
    </row>
    <row r="15">
      <c r="A15">
        <v>46140</v>
      </c>
      <c r="B15">
        <v>4</v>
      </c>
      <c r="C15">
        <v>-0.02294990643562078</v>
      </c>
      <c r="D15">
        <v>1</v>
      </c>
      <c r="E15">
        <v>0.25</v>
      </c>
      <c r="F15">
        <v>0.161425061425061</v>
      </c>
      <c r="G15">
        <v>-0.131826741996234</v>
      </c>
    </row>
    <row r="16">
      <c r="A16">
        <v>46148</v>
      </c>
      <c r="B16">
        <v>2</v>
      </c>
      <c r="C16">
        <v>0.3131602031701495</v>
      </c>
      <c r="D16">
        <v>2</v>
      </c>
      <c r="E16">
        <v>1</v>
      </c>
      <c r="F16">
        <v>0.342991913746631</v>
      </c>
      <c r="G16">
        <v>0.283328492593668</v>
      </c>
    </row>
    <row r="17">
      <c r="A17">
        <v>46160</v>
      </c>
      <c r="B17">
        <v>2</v>
      </c>
      <c r="C17">
        <v>-0.4030298127319467</v>
      </c>
      <c r="D17">
        <v>0</v>
      </c>
      <c r="E17">
        <v>0</v>
      </c>
      <c r="F17">
        <v>-0.3339700732250875</v>
      </c>
      <c r="G17">
        <v>-0.472089552238806</v>
      </c>
    </row>
    <row r="18">
      <c r="A18">
        <v>46163</v>
      </c>
      <c r="B18">
        <v>2</v>
      </c>
      <c r="C18">
        <v>-0.1865750362113483</v>
      </c>
      <c r="D18">
        <v>0</v>
      </c>
      <c r="E18">
        <v>0</v>
      </c>
      <c r="F18">
        <v>-0.09962686567164175</v>
      </c>
      <c r="G18">
        <v>-0.2735232067510548</v>
      </c>
    </row>
  </sheetData>
  <autoFilter ref="A1:G18"/>
  <pageMargins left="0.75" right="0.75" top="1" bottom="1" header="0.5" footer="0.5"/>
  <ignoredErrors>
    <ignoredError numberStoredAsText="1" sqref="A1:G18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H14"/>
  <sheetViews>
    <sheetView workbookViewId="0" rightToLeft="0"/>
  </sheetViews>
  <sheetData>
    <row r="1">
      <c r="A1" t="str">
        <v>行业大类</v>
      </c>
      <c r="B1" t="str">
        <v>股票数量</v>
      </c>
      <c r="C1" t="str">
        <v>平均区间涨跌幅</v>
      </c>
      <c r="D1" t="str">
        <v>中位数区间涨跌幅</v>
      </c>
      <c r="E1" t="str">
        <v>正收益数量</v>
      </c>
      <c r="F1" t="str">
        <v>正收益占比</v>
      </c>
      <c r="G1" t="str">
        <v>最高区间涨跌幅</v>
      </c>
      <c r="H1" t="str">
        <v>最低区间涨跌幅</v>
      </c>
    </row>
    <row r="2">
      <c r="A2" t="str">
        <v>机械设备</v>
      </c>
      <c r="B2">
        <v>2</v>
      </c>
      <c r="C2">
        <v>0.230858183409595</v>
      </c>
      <c r="D2">
        <v>0.230858183409595</v>
      </c>
      <c r="E2">
        <v>2</v>
      </c>
      <c r="F2">
        <v>1</v>
      </c>
      <c r="G2">
        <v>0.267054908485857</v>
      </c>
      <c r="H2">
        <v>0.194661458333333</v>
      </c>
    </row>
    <row r="3">
      <c r="A3" t="str">
        <v>新材料</v>
      </c>
      <c r="B3">
        <v>3</v>
      </c>
      <c r="C3">
        <v>0.1842570035136583</v>
      </c>
      <c r="D3">
        <v>0.168094655242758</v>
      </c>
      <c r="E3">
        <v>3</v>
      </c>
      <c r="F3">
        <v>1</v>
      </c>
      <c r="G3">
        <v>0.274776785714286</v>
      </c>
      <c r="H3">
        <v>0.109899569583931</v>
      </c>
    </row>
    <row r="4">
      <c r="A4" t="str">
        <v>有色金属</v>
      </c>
      <c r="B4">
        <v>4</v>
      </c>
      <c r="C4">
        <v>0.1770567644437318</v>
      </c>
      <c r="D4">
        <v>-0.006289457821769602</v>
      </c>
      <c r="E4">
        <v>2</v>
      </c>
      <c r="F4">
        <v>0.5</v>
      </c>
      <c r="G4">
        <v>0.795790416480072</v>
      </c>
      <c r="H4">
        <v>-0.0749844430616055</v>
      </c>
    </row>
    <row r="5">
      <c r="A5" t="str">
        <v>电子</v>
      </c>
      <c r="B5">
        <v>13</v>
      </c>
      <c r="C5">
        <v>0.1241970051633129</v>
      </c>
      <c r="D5">
        <v>0.043109243697479</v>
      </c>
      <c r="E5">
        <v>10</v>
      </c>
      <c r="F5">
        <v>0.7692307692307693</v>
      </c>
      <c r="G5">
        <v>0.760236844299892</v>
      </c>
      <c r="H5">
        <v>-0.236658932714617</v>
      </c>
    </row>
    <row r="6">
      <c r="A6" t="str">
        <v>家用电器/电子</v>
      </c>
      <c r="B6">
        <v>1</v>
      </c>
      <c r="C6">
        <v>0.0747330960854092</v>
      </c>
      <c r="D6">
        <v>0.0747330960854092</v>
      </c>
      <c r="E6">
        <v>1</v>
      </c>
      <c r="F6">
        <v>1</v>
      </c>
      <c r="G6">
        <v>0.0747330960854092</v>
      </c>
      <c r="H6">
        <v>0.0747330960854092</v>
      </c>
    </row>
    <row r="7">
      <c r="A7" t="str">
        <v>电力设备</v>
      </c>
      <c r="B7">
        <v>12</v>
      </c>
      <c r="C7">
        <v>0.001241681152417221</v>
      </c>
      <c r="D7">
        <v>-0.04092130455593752</v>
      </c>
      <c r="E7">
        <v>6</v>
      </c>
      <c r="F7">
        <v>0.5</v>
      </c>
      <c r="G7">
        <v>0.342991913746631</v>
      </c>
      <c r="H7">
        <v>-0.472089552238806</v>
      </c>
    </row>
    <row r="8">
      <c r="A8" t="str">
        <v>基础化工</v>
      </c>
      <c r="B8">
        <v>3</v>
      </c>
      <c r="C8">
        <v>-0.04656122968381437</v>
      </c>
      <c r="D8">
        <v>-0.0809160305343511</v>
      </c>
      <c r="E8">
        <v>1</v>
      </c>
      <c r="F8">
        <v>0.3333333333333333</v>
      </c>
      <c r="G8">
        <v>0.060553633217993</v>
      </c>
      <c r="H8">
        <v>-0.119321291735085</v>
      </c>
    </row>
    <row r="9">
      <c r="A9" t="str">
        <v>传媒</v>
      </c>
      <c r="B9">
        <v>1</v>
      </c>
      <c r="C9">
        <v>-0.0634715025906735</v>
      </c>
      <c r="D9">
        <v>-0.0634715025906735</v>
      </c>
      <c r="E9">
        <v>0</v>
      </c>
      <c r="F9">
        <v>0</v>
      </c>
      <c r="G9">
        <v>-0.0634715025906735</v>
      </c>
      <c r="H9">
        <v>-0.0634715025906735</v>
      </c>
    </row>
    <row r="10">
      <c r="A10" t="str">
        <v>汽车</v>
      </c>
      <c r="B10">
        <v>2</v>
      </c>
      <c r="C10">
        <v>-0.06733806852348916</v>
      </c>
      <c r="D10">
        <v>-0.06733806852348916</v>
      </c>
      <c r="E10">
        <v>1</v>
      </c>
      <c r="F10">
        <v>0.5</v>
      </c>
      <c r="G10">
        <v>0.0268603007325537</v>
      </c>
      <c r="H10">
        <v>-0.161536437779532</v>
      </c>
    </row>
    <row r="11">
      <c r="A11" t="str">
        <v>计算机</v>
      </c>
      <c r="B11">
        <v>7</v>
      </c>
      <c r="C11">
        <v>-0.06812265455636907</v>
      </c>
      <c r="D11">
        <v>-0.104389086595492</v>
      </c>
      <c r="E11">
        <v>2</v>
      </c>
      <c r="F11">
        <v>0.2857142857142857</v>
      </c>
      <c r="G11">
        <v>0.536400427966693</v>
      </c>
      <c r="H11">
        <v>-0.397905759162304</v>
      </c>
    </row>
    <row r="12">
      <c r="A12" t="str">
        <v>建筑装饰</v>
      </c>
      <c r="B12">
        <v>2</v>
      </c>
      <c r="C12">
        <v>-0.1477459016393445</v>
      </c>
      <c r="D12">
        <v>-0.1477459016393445</v>
      </c>
      <c r="E12">
        <v>0</v>
      </c>
      <c r="F12">
        <v>0</v>
      </c>
      <c r="G12">
        <v>-0.125</v>
      </c>
      <c r="H12">
        <v>-0.170491803278689</v>
      </c>
    </row>
    <row r="13">
      <c r="A13" t="str">
        <v>建筑工程/电力设备</v>
      </c>
      <c r="B13">
        <v>1</v>
      </c>
      <c r="C13">
        <v>-0.15779702970297</v>
      </c>
      <c r="D13">
        <v>-0.15779702970297</v>
      </c>
      <c r="E13">
        <v>0</v>
      </c>
      <c r="F13">
        <v>0</v>
      </c>
      <c r="G13">
        <v>-0.15779702970297</v>
      </c>
      <c r="H13">
        <v>-0.15779702970297</v>
      </c>
    </row>
    <row r="14">
      <c r="A14" t="str">
        <v>医药生物</v>
      </c>
      <c r="B14">
        <v>2</v>
      </c>
      <c r="C14">
        <v>-0.1870018448660945</v>
      </c>
      <c r="D14">
        <v>-0.1870018448660945</v>
      </c>
      <c r="E14">
        <v>0</v>
      </c>
      <c r="F14">
        <v>0</v>
      </c>
      <c r="G14">
        <v>-0.114295234921693</v>
      </c>
      <c r="H14">
        <v>-0.259708454810496</v>
      </c>
    </row>
  </sheetData>
  <autoFilter ref="A1:H14"/>
  <pageMargins left="0.75" right="0.75" top="1" bottom="1" header="0.5" footer="0.5"/>
  <ignoredErrors>
    <ignoredError numberStoredAsText="1" sqref="A1:H14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F21"/>
  <sheetViews>
    <sheetView workbookViewId="0" rightToLeft="0"/>
  </sheetViews>
  <sheetData>
    <row r="1">
      <c r="A1" t="str">
        <v>分组</v>
      </c>
      <c r="B1" t="str">
        <v>排名</v>
      </c>
      <c r="C1" t="str">
        <v>个股名称</v>
      </c>
      <c r="D1" t="str">
        <v>代码</v>
      </c>
      <c r="E1" t="str">
        <v>区间涨跌幅</v>
      </c>
      <c r="F1" t="str">
        <v>行业大类</v>
      </c>
    </row>
    <row r="2">
      <c r="A2" t="str">
        <v>Top 10</v>
      </c>
      <c r="B2">
        <v>1</v>
      </c>
      <c r="C2" t="str">
        <v>云南锗业</v>
      </c>
      <c r="D2" t="str">
        <v>002428</v>
      </c>
      <c r="E2">
        <v>0.795790416480072</v>
      </c>
      <c r="F2" t="str">
        <v>有色金属</v>
      </c>
    </row>
    <row r="3">
      <c r="A3" t="str">
        <v>Top 10</v>
      </c>
      <c r="B3">
        <v>2</v>
      </c>
      <c r="C3" t="str">
        <v>东山精密</v>
      </c>
      <c r="D3" t="str">
        <v>002384</v>
      </c>
      <c r="E3">
        <v>0.760236844299892</v>
      </c>
      <c r="F3" t="str">
        <v>电子</v>
      </c>
    </row>
    <row r="4">
      <c r="A4" t="str">
        <v>Top 10</v>
      </c>
      <c r="B4">
        <v>3</v>
      </c>
      <c r="C4" t="str">
        <v>宏景科技</v>
      </c>
      <c r="D4" t="str">
        <v>301396</v>
      </c>
      <c r="E4">
        <v>0.536400427966693</v>
      </c>
      <c r="F4" t="str">
        <v>计算机</v>
      </c>
    </row>
    <row r="5">
      <c r="A5" t="str">
        <v>Top 10</v>
      </c>
      <c r="B5">
        <v>4</v>
      </c>
      <c r="C5" t="str">
        <v>海光信息</v>
      </c>
      <c r="D5" t="str">
        <v>688041</v>
      </c>
      <c r="E5">
        <v>0.510835913312694</v>
      </c>
      <c r="F5" t="str">
        <v>电子</v>
      </c>
    </row>
    <row r="6">
      <c r="A6" t="str">
        <v>Top 10</v>
      </c>
      <c r="B6">
        <v>5</v>
      </c>
      <c r="C6" t="str">
        <v>特锐德</v>
      </c>
      <c r="D6" t="str">
        <v>300001</v>
      </c>
      <c r="E6">
        <v>0.342991913746631</v>
      </c>
      <c r="F6" t="str">
        <v>电力设备</v>
      </c>
    </row>
    <row r="7">
      <c r="A7" t="str">
        <v>Top 10</v>
      </c>
      <c r="B7">
        <v>6</v>
      </c>
      <c r="C7" t="str">
        <v>天赐材料</v>
      </c>
      <c r="D7" t="str">
        <v>002709</v>
      </c>
      <c r="E7">
        <v>0.329663349565954</v>
      </c>
      <c r="F7" t="str">
        <v>电力设备</v>
      </c>
    </row>
    <row r="8">
      <c r="A8" t="str">
        <v>Top 10</v>
      </c>
      <c r="B8">
        <v>7</v>
      </c>
      <c r="C8" t="str">
        <v>香农芯创</v>
      </c>
      <c r="D8" t="str">
        <v>300475</v>
      </c>
      <c r="E8">
        <v>0.298332303891291</v>
      </c>
      <c r="F8" t="str">
        <v>电子</v>
      </c>
    </row>
    <row r="9">
      <c r="A9" t="str">
        <v>Top 10</v>
      </c>
      <c r="B9">
        <v>8</v>
      </c>
      <c r="C9" t="str">
        <v>新风光</v>
      </c>
      <c r="D9" t="str">
        <v>688663</v>
      </c>
      <c r="E9">
        <v>0.283328492593668</v>
      </c>
      <c r="F9" t="str">
        <v>电力设备</v>
      </c>
    </row>
    <row r="10">
      <c r="A10" t="str">
        <v>Top 10</v>
      </c>
      <c r="B10">
        <v>9</v>
      </c>
      <c r="C10" t="str">
        <v>力量钻石</v>
      </c>
      <c r="D10" t="str">
        <v>301071</v>
      </c>
      <c r="E10">
        <v>0.274776785714286</v>
      </c>
      <c r="F10" t="str">
        <v>新材料</v>
      </c>
    </row>
    <row r="11">
      <c r="A11" t="str">
        <v>Top 10</v>
      </c>
      <c r="B11">
        <v>10</v>
      </c>
      <c r="C11" t="str">
        <v>新锐股份</v>
      </c>
      <c r="D11" t="str">
        <v>688257</v>
      </c>
      <c r="E11">
        <v>0.267054908485857</v>
      </c>
      <c r="F11" t="str">
        <v>机械设备</v>
      </c>
    </row>
    <row r="12">
      <c r="A12" t="str">
        <v>Bottom 10</v>
      </c>
      <c r="B12">
        <v>1</v>
      </c>
      <c r="C12" t="str">
        <v>科华数据</v>
      </c>
      <c r="D12" t="str">
        <v>002335</v>
      </c>
      <c r="E12">
        <v>-0.472089552238806</v>
      </c>
      <c r="F12" t="str">
        <v>电力设备</v>
      </c>
    </row>
    <row r="13">
      <c r="A13" t="str">
        <v>Bottom 10</v>
      </c>
      <c r="B13">
        <v>2</v>
      </c>
      <c r="C13" t="str">
        <v>北信源</v>
      </c>
      <c r="D13" t="str">
        <v>300352</v>
      </c>
      <c r="E13">
        <v>-0.397905759162304</v>
      </c>
      <c r="F13" t="str">
        <v>计算机</v>
      </c>
    </row>
    <row r="14">
      <c r="A14" t="str">
        <v>Bottom 10</v>
      </c>
      <c r="B14">
        <v>3</v>
      </c>
      <c r="C14" t="str">
        <v>首都在线</v>
      </c>
      <c r="D14" t="str">
        <v>300846</v>
      </c>
      <c r="E14">
        <v>-0.3339700732250875</v>
      </c>
      <c r="F14" t="str">
        <v>计算机</v>
      </c>
    </row>
    <row r="15">
      <c r="A15" t="str">
        <v>Bottom 10</v>
      </c>
      <c r="B15">
        <v>4</v>
      </c>
      <c r="C15" t="str">
        <v>湖南裕能</v>
      </c>
      <c r="D15" t="str">
        <v>301358</v>
      </c>
      <c r="E15">
        <v>-0.2735232067510548</v>
      </c>
      <c r="F15" t="str">
        <v>电力设备</v>
      </c>
    </row>
    <row r="16">
      <c r="A16" t="str">
        <v>Bottom 10</v>
      </c>
      <c r="B16">
        <v>5</v>
      </c>
      <c r="C16" t="str">
        <v>三生国健</v>
      </c>
      <c r="D16" t="str">
        <v>688336</v>
      </c>
      <c r="E16">
        <v>-0.259708454810496</v>
      </c>
      <c r="F16" t="str">
        <v>医药生物</v>
      </c>
    </row>
    <row r="17">
      <c r="A17" t="str">
        <v>Bottom 10</v>
      </c>
      <c r="B17">
        <v>6</v>
      </c>
      <c r="C17" t="str">
        <v>利亚德</v>
      </c>
      <c r="D17" t="str">
        <v>300296</v>
      </c>
      <c r="E17">
        <v>-0.236658932714617</v>
      </c>
      <c r="F17" t="str">
        <v>电子</v>
      </c>
    </row>
    <row r="18">
      <c r="A18" t="str">
        <v>Bottom 10</v>
      </c>
      <c r="B18">
        <v>7</v>
      </c>
      <c r="C18" t="str">
        <v>森特股份</v>
      </c>
      <c r="D18" t="str">
        <v>603098</v>
      </c>
      <c r="E18">
        <v>-0.170491803278689</v>
      </c>
      <c r="F18" t="str">
        <v>建筑装饰</v>
      </c>
    </row>
    <row r="19">
      <c r="A19" t="str">
        <v>Bottom 10</v>
      </c>
      <c r="B19">
        <v>8</v>
      </c>
      <c r="C19" t="str">
        <v>美湖股份</v>
      </c>
      <c r="D19" t="str">
        <v>603319</v>
      </c>
      <c r="E19">
        <v>-0.161536437779532</v>
      </c>
      <c r="F19" t="str">
        <v>汽车</v>
      </c>
    </row>
    <row r="20">
      <c r="A20" t="str">
        <v>Bottom 10</v>
      </c>
      <c r="B20">
        <v>9</v>
      </c>
      <c r="C20" t="str">
        <v>永福股份</v>
      </c>
      <c r="D20" t="str">
        <v>300712</v>
      </c>
      <c r="E20">
        <v>-0.15779702970297</v>
      </c>
      <c r="F20" t="str">
        <v>建筑工程/电力设备</v>
      </c>
    </row>
    <row r="21">
      <c r="A21" t="str">
        <v>Bottom 10</v>
      </c>
      <c r="B21">
        <v>10</v>
      </c>
      <c r="C21" t="str">
        <v>华明装备</v>
      </c>
      <c r="D21" t="str">
        <v>002270</v>
      </c>
      <c r="E21">
        <v>-0.131826741996234</v>
      </c>
      <c r="F21" t="str">
        <v>电力设备</v>
      </c>
    </row>
  </sheetData>
  <autoFilter ref="A1:F21"/>
  <pageMargins left="0.75" right="0.75" top="1" bottom="1" header="0.5" footer="0.5"/>
  <ignoredErrors>
    <ignoredError numberStoredAsText="1" sqref="A1:F2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O54"/>
  <sheetViews>
    <sheetView workbookViewId="0" rightToLeft="0"/>
  </sheetViews>
  <sheetData>
    <row r="1">
      <c r="A1" t="str">
        <v>序号</v>
      </c>
      <c r="B1" t="str">
        <v>个股推荐日期</v>
      </c>
      <c r="C1" t="str">
        <v>个股名称</v>
      </c>
      <c r="D1" t="str">
        <v>代码</v>
      </c>
      <c r="E1" t="str">
        <v>推荐日开盘价</v>
      </c>
      <c r="F1" t="str">
        <v>统计截止日期</v>
      </c>
      <c r="G1" t="str">
        <v>截止日收盘价</v>
      </c>
      <c r="H1" t="str">
        <v>区间涨跌幅</v>
      </c>
      <c r="I1" t="str">
        <v>最高涨幅发生日期</v>
      </c>
      <c r="J1" t="str">
        <v>最高涨幅（%）</v>
      </c>
      <c r="K1" t="str">
        <v>距推荐日交易天数</v>
      </c>
      <c r="L1" t="str">
        <v>截止跟踪日</v>
      </c>
      <c r="M1" t="str">
        <v>原始行业</v>
      </c>
      <c r="N1" t="str">
        <v>行业大类</v>
      </c>
      <c r="O1" t="str">
        <v>空字段15</v>
      </c>
    </row>
    <row r="2">
      <c r="A2">
        <v>1</v>
      </c>
      <c r="B2">
        <v>46078</v>
      </c>
      <c r="C2" t="str">
        <v>国瓷材料</v>
      </c>
      <c r="D2" t="str">
        <v>300285</v>
      </c>
      <c r="E2">
        <v>34.85</v>
      </c>
      <c r="F2">
        <v>20260507</v>
      </c>
      <c r="G2">
        <v>38.68</v>
      </c>
      <c r="H2">
        <v>0.109899569583931</v>
      </c>
      <c r="I2">
        <v>46091</v>
      </c>
      <c r="J2">
        <v>0.1107</v>
      </c>
      <c r="K2">
        <v>10</v>
      </c>
      <c r="L2">
        <v>20260507</v>
      </c>
      <c r="M2" t="str">
        <v>电子陶瓷/电子材料</v>
      </c>
      <c r="N2" t="str">
        <v>新材料</v>
      </c>
    </row>
    <row r="3">
      <c r="A3">
        <v>2</v>
      </c>
      <c r="B3">
        <v>46078</v>
      </c>
      <c r="C3" t="str">
        <v>风华高科</v>
      </c>
      <c r="D3" t="str">
        <v>000636</v>
      </c>
      <c r="E3">
        <v>25.04</v>
      </c>
      <c r="F3">
        <v>20260507</v>
      </c>
      <c r="G3">
        <v>25.15</v>
      </c>
      <c r="H3">
        <v>0.00439297124600637</v>
      </c>
      <c r="I3">
        <v>46078</v>
      </c>
      <c r="J3">
        <v>0.1</v>
      </c>
      <c r="K3">
        <v>1</v>
      </c>
      <c r="L3">
        <v>20260507</v>
      </c>
      <c r="M3" t="str">
        <v>被动元件</v>
      </c>
      <c r="N3" t="str">
        <v>电子</v>
      </c>
    </row>
    <row r="4">
      <c r="A4">
        <v>3</v>
      </c>
      <c r="B4">
        <v>46078</v>
      </c>
      <c r="C4" t="str">
        <v>达利凯普</v>
      </c>
      <c r="D4" t="str">
        <v>301566</v>
      </c>
      <c r="E4">
        <v>25.4</v>
      </c>
      <c r="F4">
        <v>20260507</v>
      </c>
      <c r="G4">
        <v>25.58</v>
      </c>
      <c r="H4">
        <v>0.00708661417322834</v>
      </c>
      <c r="I4">
        <v>46120</v>
      </c>
      <c r="J4">
        <v>0.0735</v>
      </c>
      <c r="K4">
        <v>30</v>
      </c>
      <c r="L4">
        <v>20260507</v>
      </c>
      <c r="M4" t="str">
        <v>被动元件/射频微波MLCC</v>
      </c>
      <c r="N4" t="str">
        <v>电子</v>
      </c>
    </row>
    <row r="5">
      <c r="A5">
        <v>4</v>
      </c>
      <c r="B5">
        <v>46080</v>
      </c>
      <c r="C5" t="str">
        <v>华锐精密</v>
      </c>
      <c r="D5" t="str">
        <v>688059</v>
      </c>
      <c r="E5">
        <v>122.88</v>
      </c>
      <c r="F5">
        <v>20260507</v>
      </c>
      <c r="G5">
        <v>146.8</v>
      </c>
      <c r="H5">
        <v>0.194661458333333</v>
      </c>
      <c r="I5">
        <v>46141</v>
      </c>
      <c r="J5">
        <v>0.1724</v>
      </c>
      <c r="K5">
        <v>43</v>
      </c>
      <c r="L5">
        <v>20260507</v>
      </c>
      <c r="M5" t="str">
        <v>数控刀具/硬质合金工具</v>
      </c>
      <c r="N5" t="str">
        <v>机械设备</v>
      </c>
    </row>
    <row r="6">
      <c r="A6">
        <v>5</v>
      </c>
      <c r="B6">
        <v>46080</v>
      </c>
      <c r="C6" t="str">
        <v>新锐股份</v>
      </c>
      <c r="D6" t="str">
        <v>688257</v>
      </c>
      <c r="E6">
        <v>60.1</v>
      </c>
      <c r="F6">
        <v>20260507</v>
      </c>
      <c r="G6">
        <v>76.15</v>
      </c>
      <c r="H6">
        <v>0.267054908485857</v>
      </c>
      <c r="I6">
        <v>46083</v>
      </c>
      <c r="J6">
        <v>0.1497</v>
      </c>
      <c r="K6">
        <v>2</v>
      </c>
      <c r="L6">
        <v>20260507</v>
      </c>
      <c r="M6" t="str">
        <v>硬质合金工具</v>
      </c>
      <c r="N6" t="str">
        <v>机械设备</v>
      </c>
    </row>
    <row r="7">
      <c r="A7">
        <v>6</v>
      </c>
      <c r="B7">
        <v>46080</v>
      </c>
      <c r="C7" t="str">
        <v>云南锗业</v>
      </c>
      <c r="D7" t="str">
        <v>002428</v>
      </c>
      <c r="E7">
        <v>44.66</v>
      </c>
      <c r="F7">
        <v>20260507</v>
      </c>
      <c r="G7">
        <v>80.2</v>
      </c>
      <c r="H7">
        <v>0.795790416480072</v>
      </c>
      <c r="I7">
        <v>46129</v>
      </c>
      <c r="J7">
        <v>0.1001</v>
      </c>
      <c r="K7">
        <v>35</v>
      </c>
      <c r="L7">
        <v>20260507</v>
      </c>
      <c r="M7" t="str">
        <v>小金属/锗材料</v>
      </c>
      <c r="N7" t="str">
        <v>有色金属</v>
      </c>
    </row>
    <row r="8">
      <c r="A8">
        <v>7</v>
      </c>
      <c r="B8">
        <v>46086</v>
      </c>
      <c r="C8" t="str">
        <v>华鲁恒升</v>
      </c>
      <c r="D8" t="str">
        <v>600426</v>
      </c>
      <c r="E8">
        <v>39.3</v>
      </c>
      <c r="F8">
        <v>20260507</v>
      </c>
      <c r="G8">
        <v>36.12</v>
      </c>
      <c r="H8">
        <v>-0.0809160305343511</v>
      </c>
      <c r="I8">
        <v>46119</v>
      </c>
      <c r="J8">
        <v>0.0943</v>
      </c>
      <c r="K8">
        <v>23</v>
      </c>
      <c r="L8">
        <v>20260507</v>
      </c>
      <c r="M8" t="str">
        <v>煤化工/化学原料</v>
      </c>
      <c r="N8" t="str">
        <v>基础化工</v>
      </c>
    </row>
    <row r="9">
      <c r="A9">
        <v>8</v>
      </c>
      <c r="B9">
        <v>46086</v>
      </c>
      <c r="C9" t="str">
        <v>湖北宜化</v>
      </c>
      <c r="D9" t="str">
        <v>000422</v>
      </c>
      <c r="E9">
        <v>18.27</v>
      </c>
      <c r="F9">
        <v>20260507</v>
      </c>
      <c r="G9">
        <v>16.09</v>
      </c>
      <c r="H9">
        <v>-0.119321291735085</v>
      </c>
      <c r="I9">
        <v>46104</v>
      </c>
      <c r="J9">
        <v>0.0784</v>
      </c>
      <c r="K9">
        <v>13</v>
      </c>
      <c r="L9">
        <v>20260507</v>
      </c>
      <c r="M9" t="str">
        <v>磷化工/化肥</v>
      </c>
      <c r="N9" t="str">
        <v>基础化工</v>
      </c>
    </row>
    <row r="10">
      <c r="A10">
        <v>9</v>
      </c>
      <c r="B10">
        <v>46087</v>
      </c>
      <c r="C10" t="str">
        <v>华灿光电</v>
      </c>
      <c r="D10" t="str">
        <v>300323</v>
      </c>
      <c r="E10">
        <v>11.51</v>
      </c>
      <c r="F10">
        <v>20260507</v>
      </c>
      <c r="G10">
        <v>12.75</v>
      </c>
      <c r="H10">
        <v>0.107732406602954</v>
      </c>
      <c r="I10">
        <v>46087</v>
      </c>
      <c r="J10">
        <v>0.1649</v>
      </c>
      <c r="K10">
        <v>1</v>
      </c>
      <c r="L10">
        <v>20260507</v>
      </c>
      <c r="M10" t="str">
        <v>LED芯片</v>
      </c>
      <c r="N10" t="str">
        <v>电子</v>
      </c>
    </row>
    <row r="11">
      <c r="A11">
        <v>10</v>
      </c>
      <c r="B11">
        <v>46087</v>
      </c>
      <c r="C11" t="str">
        <v>新相微</v>
      </c>
      <c r="D11" t="str">
        <v>688593</v>
      </c>
      <c r="E11">
        <v>35.1</v>
      </c>
      <c r="F11">
        <v>20260507</v>
      </c>
      <c r="G11">
        <v>39.94</v>
      </c>
      <c r="H11">
        <v>0.137891737891738</v>
      </c>
      <c r="I11">
        <v>46149</v>
      </c>
      <c r="J11">
        <v>0.1631</v>
      </c>
      <c r="K11">
        <v>41</v>
      </c>
      <c r="L11">
        <v>20260507</v>
      </c>
      <c r="M11" t="str">
        <v>显示驱动芯片</v>
      </c>
      <c r="N11" t="str">
        <v>电子</v>
      </c>
    </row>
    <row r="12">
      <c r="A12">
        <v>11</v>
      </c>
      <c r="B12">
        <v>46087</v>
      </c>
      <c r="C12" t="str">
        <v>利亚德</v>
      </c>
      <c r="D12" t="str">
        <v>300296</v>
      </c>
      <c r="E12">
        <v>8.62</v>
      </c>
      <c r="F12">
        <v>20260507</v>
      </c>
      <c r="G12">
        <v>6.58</v>
      </c>
      <c r="H12">
        <v>-0.236658932714617</v>
      </c>
      <c r="I12">
        <v>46120</v>
      </c>
      <c r="J12">
        <v>0.0812</v>
      </c>
      <c r="K12">
        <v>23</v>
      </c>
      <c r="L12">
        <v>20260507</v>
      </c>
      <c r="M12" t="str">
        <v>LED显示</v>
      </c>
      <c r="N12" t="str">
        <v>电子</v>
      </c>
    </row>
    <row r="13">
      <c r="A13">
        <v>12</v>
      </c>
      <c r="B13">
        <v>46087</v>
      </c>
      <c r="C13" t="str">
        <v>兆驰股份</v>
      </c>
      <c r="D13" t="str">
        <v>002429</v>
      </c>
      <c r="E13">
        <v>11.24</v>
      </c>
      <c r="F13">
        <v>20260507</v>
      </c>
      <c r="G13">
        <v>12.08</v>
      </c>
      <c r="H13">
        <v>0.0747330960854092</v>
      </c>
      <c r="I13">
        <v>46094</v>
      </c>
      <c r="J13">
        <v>0.1005</v>
      </c>
      <c r="K13">
        <v>6</v>
      </c>
      <c r="L13">
        <v>20260507</v>
      </c>
      <c r="M13" t="str">
        <v>显示终端/LED产业链</v>
      </c>
      <c r="N13" t="str">
        <v>家用电器/电子</v>
      </c>
    </row>
    <row r="14">
      <c r="A14">
        <v>13</v>
      </c>
      <c r="B14">
        <v>46087</v>
      </c>
      <c r="C14" t="str">
        <v>安光电</v>
      </c>
      <c r="D14" t="str">
        <v>600703</v>
      </c>
      <c r="E14">
        <v>17.08</v>
      </c>
      <c r="F14">
        <v>20260507</v>
      </c>
      <c r="G14">
        <v>15.14</v>
      </c>
      <c r="H14">
        <v>-0.113583138173302</v>
      </c>
      <c r="I14">
        <v>46134</v>
      </c>
      <c r="J14">
        <v>0.1001</v>
      </c>
      <c r="K14">
        <v>33</v>
      </c>
      <c r="L14">
        <v>20260507</v>
      </c>
      <c r="M14" t="str">
        <v>LED芯片/化合物半导体</v>
      </c>
      <c r="N14" t="str">
        <v>电子</v>
      </c>
    </row>
    <row r="15">
      <c r="A15">
        <v>14</v>
      </c>
      <c r="B15">
        <v>46087</v>
      </c>
      <c r="C15" t="str">
        <v>乾照光电</v>
      </c>
      <c r="D15" t="str">
        <v>300102</v>
      </c>
      <c r="E15">
        <v>35.2</v>
      </c>
      <c r="F15">
        <v>20260507</v>
      </c>
      <c r="G15">
        <v>31.27</v>
      </c>
      <c r="H15">
        <v>-0.111647727272727</v>
      </c>
      <c r="I15">
        <v>46132</v>
      </c>
      <c r="J15">
        <v>0.0793</v>
      </c>
      <c r="K15">
        <v>31</v>
      </c>
      <c r="L15">
        <v>20260507</v>
      </c>
      <c r="M15" t="str">
        <v>LED芯片</v>
      </c>
      <c r="N15" t="str">
        <v>电子</v>
      </c>
    </row>
    <row r="16">
      <c r="A16">
        <v>15</v>
      </c>
      <c r="B16">
        <v>46091</v>
      </c>
      <c r="C16" t="str">
        <v>万兴科技</v>
      </c>
      <c r="D16" t="str">
        <v>300624</v>
      </c>
      <c r="E16">
        <v>80.29</v>
      </c>
      <c r="F16">
        <v>20260507</v>
      </c>
      <c r="G16">
        <v>71.29</v>
      </c>
      <c r="H16">
        <v>-0.112093660480757</v>
      </c>
      <c r="I16">
        <v>46120</v>
      </c>
      <c r="J16">
        <v>0.0985</v>
      </c>
      <c r="K16">
        <v>21</v>
      </c>
      <c r="L16">
        <v>20260507</v>
      </c>
      <c r="M16" t="str">
        <v>数字创意软件</v>
      </c>
      <c r="N16" t="str">
        <v>计算机</v>
      </c>
    </row>
    <row r="17">
      <c r="A17">
        <v>16</v>
      </c>
      <c r="B17">
        <v>46091</v>
      </c>
      <c r="C17" t="str">
        <v>优刻得</v>
      </c>
      <c r="D17" t="str">
        <v>688158</v>
      </c>
      <c r="E17">
        <v>51.89</v>
      </c>
      <c r="F17">
        <v>20260507</v>
      </c>
      <c r="G17">
        <v>52.76</v>
      </c>
      <c r="H17">
        <v>0.0167662362690306</v>
      </c>
      <c r="I17">
        <v>46120</v>
      </c>
      <c r="J17">
        <v>0.1395</v>
      </c>
      <c r="K17">
        <v>22</v>
      </c>
      <c r="L17">
        <v>20260507</v>
      </c>
      <c r="M17" t="str">
        <v>云计算服务</v>
      </c>
      <c r="N17" t="str">
        <v>计算机</v>
      </c>
    </row>
    <row r="18">
      <c r="A18">
        <v>17</v>
      </c>
      <c r="B18">
        <v>46091</v>
      </c>
      <c r="C18" t="str">
        <v>顺网科技</v>
      </c>
      <c r="D18" t="str">
        <v>300113</v>
      </c>
      <c r="E18">
        <v>30.88</v>
      </c>
      <c r="F18">
        <v>20260507</v>
      </c>
      <c r="G18">
        <v>28.92</v>
      </c>
      <c r="H18">
        <v>-0.0634715025906735</v>
      </c>
      <c r="I18">
        <v>46120</v>
      </c>
      <c r="J18">
        <v>0.1323</v>
      </c>
      <c r="K18">
        <v>22</v>
      </c>
      <c r="L18">
        <v>20260507</v>
      </c>
      <c r="M18" t="str">
        <v>互联网服务/游戏服务</v>
      </c>
      <c r="N18" t="str">
        <v>传媒</v>
      </c>
    </row>
    <row r="19">
      <c r="A19">
        <v>18</v>
      </c>
      <c r="B19">
        <v>46091</v>
      </c>
      <c r="C19" t="str">
        <v>中科创达</v>
      </c>
      <c r="D19" t="str">
        <v>300496</v>
      </c>
      <c r="E19">
        <v>72</v>
      </c>
      <c r="F19">
        <v>20260507</v>
      </c>
      <c r="G19">
        <v>66.12</v>
      </c>
      <c r="H19">
        <v>-0.0816666666666666</v>
      </c>
      <c r="I19">
        <v>46120</v>
      </c>
      <c r="J19">
        <v>0.0804</v>
      </c>
      <c r="K19">
        <v>22</v>
      </c>
      <c r="L19">
        <v>20260507</v>
      </c>
      <c r="M19" t="str">
        <v>操作系统软件</v>
      </c>
      <c r="N19" t="str">
        <v>计算机</v>
      </c>
    </row>
    <row r="20">
      <c r="A20">
        <v>19</v>
      </c>
      <c r="B20">
        <v>46091</v>
      </c>
      <c r="C20" t="str">
        <v>拓维信息</v>
      </c>
      <c r="D20" t="str">
        <v>002261</v>
      </c>
      <c r="E20">
        <v>42.15</v>
      </c>
      <c r="F20">
        <v>20260507</v>
      </c>
      <c r="G20">
        <v>37.75</v>
      </c>
      <c r="H20">
        <v>-0.104389086595492</v>
      </c>
      <c r="I20">
        <v>46120</v>
      </c>
      <c r="J20">
        <v>0.0707</v>
      </c>
      <c r="K20">
        <v>22</v>
      </c>
      <c r="L20">
        <v>20260507</v>
      </c>
      <c r="M20" t="str">
        <v>软件开发/IT服务</v>
      </c>
      <c r="N20" t="str">
        <v>计算机</v>
      </c>
    </row>
    <row r="21">
      <c r="A21">
        <v>20</v>
      </c>
      <c r="B21">
        <v>46091</v>
      </c>
      <c r="C21" t="str">
        <v>瑞芯微</v>
      </c>
      <c r="D21" t="str">
        <v>603893</v>
      </c>
      <c r="E21">
        <v>179.8</v>
      </c>
      <c r="F21">
        <v>20260507</v>
      </c>
      <c r="G21">
        <v>181.06</v>
      </c>
      <c r="H21">
        <v>0.00700778642936591</v>
      </c>
      <c r="I21">
        <v>46120</v>
      </c>
      <c r="J21">
        <v>0.0803</v>
      </c>
      <c r="K21">
        <v>22</v>
      </c>
      <c r="L21">
        <v>20260507</v>
      </c>
      <c r="M21" t="str">
        <v>数字芯片设计</v>
      </c>
      <c r="N21" t="str">
        <v>电子</v>
      </c>
    </row>
    <row r="22">
      <c r="A22">
        <v>21</v>
      </c>
      <c r="B22">
        <v>46091</v>
      </c>
      <c r="C22" t="str">
        <v>北信源</v>
      </c>
      <c r="D22" t="str">
        <v>300352</v>
      </c>
      <c r="E22">
        <v>7.64</v>
      </c>
      <c r="F22">
        <v>20260507</v>
      </c>
      <c r="G22">
        <v>4.6</v>
      </c>
      <c r="H22">
        <v>-0.397905759162304</v>
      </c>
      <c r="I22">
        <v>46128</v>
      </c>
      <c r="J22">
        <v>0.1141</v>
      </c>
      <c r="K22">
        <v>28</v>
      </c>
      <c r="L22">
        <v>20260507</v>
      </c>
      <c r="M22" t="str">
        <v>网络安全软件</v>
      </c>
      <c r="N22" t="str">
        <v>计算机</v>
      </c>
    </row>
    <row r="23">
      <c r="A23">
        <v>22</v>
      </c>
      <c r="B23">
        <v>46093</v>
      </c>
      <c r="C23" t="str">
        <v>金杯电工</v>
      </c>
      <c r="D23" t="str">
        <v>002533</v>
      </c>
      <c r="E23">
        <v>15.85</v>
      </c>
      <c r="F23">
        <v>20260507</v>
      </c>
      <c r="G23">
        <v>13.96</v>
      </c>
      <c r="H23">
        <v>-0.119242902208202</v>
      </c>
      <c r="I23">
        <v>46106</v>
      </c>
      <c r="J23">
        <v>0.0503</v>
      </c>
      <c r="K23">
        <v>10</v>
      </c>
      <c r="L23">
        <v>20260507</v>
      </c>
      <c r="M23" t="str">
        <v>电线电缆</v>
      </c>
      <c r="N23" t="str">
        <v>电力设备</v>
      </c>
    </row>
    <row r="24">
      <c r="A24">
        <v>23</v>
      </c>
      <c r="B24">
        <v>46093</v>
      </c>
      <c r="C24" t="str">
        <v>法拉电子</v>
      </c>
      <c r="D24" t="str">
        <v>600563</v>
      </c>
      <c r="E24">
        <v>119</v>
      </c>
      <c r="F24">
        <v>20260507</v>
      </c>
      <c r="G24">
        <v>124.13</v>
      </c>
      <c r="H24">
        <v>0.043109243697479</v>
      </c>
      <c r="I24">
        <v>46099</v>
      </c>
      <c r="J24">
        <v>0.0823</v>
      </c>
      <c r="K24">
        <v>5</v>
      </c>
      <c r="L24">
        <v>20260507</v>
      </c>
      <c r="M24" t="str">
        <v>薄膜电容</v>
      </c>
      <c r="N24" t="str">
        <v>电子</v>
      </c>
    </row>
    <row r="25">
      <c r="A25">
        <v>24</v>
      </c>
      <c r="B25">
        <v>46093</v>
      </c>
      <c r="C25" t="str">
        <v>永福股份</v>
      </c>
      <c r="D25" t="str">
        <v>300712</v>
      </c>
      <c r="E25">
        <v>32.32</v>
      </c>
      <c r="F25">
        <v>20260507</v>
      </c>
      <c r="G25">
        <v>27.22</v>
      </c>
      <c r="H25">
        <v>-0.15779702970297</v>
      </c>
      <c r="I25">
        <v>46105</v>
      </c>
      <c r="J25">
        <v>0.0534</v>
      </c>
      <c r="K25">
        <v>9</v>
      </c>
      <c r="L25">
        <v>20260507</v>
      </c>
      <c r="M25" t="str">
        <v>电力工程设计</v>
      </c>
      <c r="N25" t="str">
        <v>建筑工程/电力设备</v>
      </c>
    </row>
    <row r="26">
      <c r="A26">
        <v>25</v>
      </c>
      <c r="B26">
        <v>46111</v>
      </c>
      <c r="C26" t="str">
        <v>永太科技</v>
      </c>
      <c r="D26" t="str">
        <v>002326</v>
      </c>
      <c r="E26">
        <v>23.12</v>
      </c>
      <c r="F26">
        <v>20260507</v>
      </c>
      <c r="G26">
        <v>24.52</v>
      </c>
      <c r="H26">
        <v>0.060553633217993</v>
      </c>
      <c r="I26">
        <v>46126</v>
      </c>
      <c r="J26">
        <v>0.0623</v>
      </c>
      <c r="K26">
        <v>12</v>
      </c>
      <c r="L26">
        <v>20260507</v>
      </c>
      <c r="M26" t="str">
        <v>氟化工/精细化工</v>
      </c>
      <c r="N26" t="str">
        <v>基础化工</v>
      </c>
    </row>
    <row r="27">
      <c r="A27">
        <v>26</v>
      </c>
      <c r="B27">
        <v>46111</v>
      </c>
      <c r="C27" t="str">
        <v>天赐材料</v>
      </c>
      <c r="D27" t="str">
        <v>002709</v>
      </c>
      <c r="E27">
        <v>47.23</v>
      </c>
      <c r="F27">
        <v>20260507</v>
      </c>
      <c r="G27">
        <v>62.8</v>
      </c>
      <c r="H27">
        <v>0.329663349565954</v>
      </c>
      <c r="I27">
        <v>46141</v>
      </c>
      <c r="J27">
        <v>0.0939</v>
      </c>
      <c r="K27">
        <v>23</v>
      </c>
      <c r="L27">
        <v>20260507</v>
      </c>
      <c r="M27" t="str">
        <v>锂电池电解液材料</v>
      </c>
      <c r="N27" t="str">
        <v>电力设备</v>
      </c>
    </row>
    <row r="28">
      <c r="A28">
        <v>27</v>
      </c>
      <c r="B28">
        <v>46120</v>
      </c>
      <c r="C28" t="str">
        <v>海光信息</v>
      </c>
      <c r="D28" t="str">
        <v>688041</v>
      </c>
      <c r="E28">
        <v>226.1</v>
      </c>
      <c r="F28">
        <v>20260507</v>
      </c>
      <c r="G28">
        <v>341.6</v>
      </c>
      <c r="H28">
        <v>0.510835913312694</v>
      </c>
      <c r="I28">
        <v>46148</v>
      </c>
      <c r="J28">
        <v>0.1626</v>
      </c>
      <c r="K28">
        <v>21</v>
      </c>
      <c r="L28">
        <v>20260507</v>
      </c>
      <c r="M28" t="str">
        <v>CPU/GPU芯片</v>
      </c>
      <c r="N28" t="str">
        <v>电子</v>
      </c>
    </row>
    <row r="29">
      <c r="A29">
        <v>28</v>
      </c>
      <c r="B29">
        <v>46120</v>
      </c>
      <c r="C29" t="str">
        <v>东山精密</v>
      </c>
      <c r="D29" t="str">
        <v>002384</v>
      </c>
      <c r="E29">
        <v>119.91</v>
      </c>
      <c r="F29">
        <v>20260507</v>
      </c>
      <c r="G29">
        <v>211.07</v>
      </c>
      <c r="H29">
        <v>0.760236844299892</v>
      </c>
      <c r="I29">
        <v>46120</v>
      </c>
      <c r="J29">
        <v>0.1</v>
      </c>
      <c r="K29">
        <v>1</v>
      </c>
      <c r="L29">
        <v>20260507</v>
      </c>
      <c r="M29" t="str">
        <v>PCB/精密制造</v>
      </c>
      <c r="N29" t="str">
        <v>电子</v>
      </c>
    </row>
    <row r="30">
      <c r="A30">
        <v>29</v>
      </c>
      <c r="B30">
        <v>46120</v>
      </c>
      <c r="C30" t="str">
        <v>香农芯创</v>
      </c>
      <c r="D30" t="str">
        <v>300475</v>
      </c>
      <c r="E30">
        <v>145.71</v>
      </c>
      <c r="F30">
        <v>20260507</v>
      </c>
      <c r="G30">
        <v>189.18</v>
      </c>
      <c r="H30">
        <v>0.298332303891291</v>
      </c>
      <c r="I30">
        <v>46120</v>
      </c>
      <c r="J30">
        <v>0.2</v>
      </c>
      <c r="K30">
        <v>1</v>
      </c>
      <c r="L30">
        <v>20260507</v>
      </c>
      <c r="M30" t="str">
        <v>电子元器件分销</v>
      </c>
      <c r="N30" t="str">
        <v>电子</v>
      </c>
    </row>
    <row r="31">
      <c r="A31">
        <v>30</v>
      </c>
      <c r="B31">
        <v>46126</v>
      </c>
      <c r="C31" t="str">
        <v>欣旺达</v>
      </c>
      <c r="D31" t="str">
        <v>300207</v>
      </c>
      <c r="E31">
        <v>28.95</v>
      </c>
      <c r="F31">
        <v>20260514</v>
      </c>
      <c r="G31">
        <v>25.51</v>
      </c>
      <c r="H31">
        <v>-0.118825561312608</v>
      </c>
      <c r="I31">
        <v>46141</v>
      </c>
      <c r="J31">
        <v>0.0491</v>
      </c>
      <c r="K31">
        <v>12</v>
      </c>
      <c r="L31">
        <v>20260514</v>
      </c>
      <c r="M31" t="str">
        <v>锂电池</v>
      </c>
      <c r="N31" t="str">
        <v>电力设备</v>
      </c>
    </row>
    <row r="32">
      <c r="A32">
        <v>31</v>
      </c>
      <c r="B32">
        <v>46126</v>
      </c>
      <c r="C32" t="str">
        <v>科华数据</v>
      </c>
      <c r="D32" t="str">
        <v>002335</v>
      </c>
      <c r="E32">
        <v>60.1</v>
      </c>
      <c r="F32">
        <v>20260514</v>
      </c>
      <c r="G32">
        <v>65.8</v>
      </c>
      <c r="H32">
        <v>0.0948419301164725</v>
      </c>
      <c r="I32">
        <v>46149</v>
      </c>
      <c r="J32">
        <v>0.1</v>
      </c>
      <c r="K32">
        <v>18</v>
      </c>
      <c r="L32">
        <v>20260514</v>
      </c>
      <c r="M32" t="str">
        <v>电源设备/数据中心</v>
      </c>
      <c r="N32" t="str">
        <v>电力设备</v>
      </c>
    </row>
    <row r="33">
      <c r="A33">
        <v>32</v>
      </c>
      <c r="B33">
        <v>46126</v>
      </c>
      <c r="C33" t="str">
        <v>宏景科技</v>
      </c>
      <c r="D33" t="str">
        <v>301396</v>
      </c>
      <c r="E33">
        <v>214.97</v>
      </c>
      <c r="F33">
        <v>20260514</v>
      </c>
      <c r="G33">
        <v>330.28</v>
      </c>
      <c r="H33">
        <v>0.536400427966693</v>
      </c>
      <c r="I33">
        <v>46128</v>
      </c>
      <c r="J33">
        <v>0.2</v>
      </c>
      <c r="K33">
        <v>3</v>
      </c>
      <c r="L33">
        <v>20260514</v>
      </c>
      <c r="M33" t="str">
        <v>智慧城市IT服务</v>
      </c>
      <c r="N33" t="str">
        <v>计算机</v>
      </c>
    </row>
    <row r="34">
      <c r="A34">
        <v>33</v>
      </c>
      <c r="B34">
        <v>46126</v>
      </c>
      <c r="C34" t="str">
        <v>协创数据</v>
      </c>
      <c r="D34" t="str">
        <v>300857</v>
      </c>
      <c r="E34">
        <v>240.06</v>
      </c>
      <c r="F34">
        <v>20260514</v>
      </c>
      <c r="G34">
        <v>288.03</v>
      </c>
      <c r="H34">
        <v>0.199825043739065</v>
      </c>
      <c r="I34">
        <v>46126</v>
      </c>
      <c r="J34">
        <v>0.2</v>
      </c>
      <c r="K34">
        <v>1</v>
      </c>
      <c r="L34">
        <v>20260514</v>
      </c>
      <c r="M34" t="str">
        <v>智能终端制造</v>
      </c>
      <c r="N34" t="str">
        <v>电子</v>
      </c>
    </row>
    <row r="35">
      <c r="A35">
        <v>34</v>
      </c>
      <c r="B35">
        <v>46127</v>
      </c>
      <c r="C35" t="str">
        <v>力量钻石</v>
      </c>
      <c r="D35" t="str">
        <v>301071</v>
      </c>
      <c r="E35">
        <v>44.8</v>
      </c>
      <c r="F35">
        <v>20260515</v>
      </c>
      <c r="G35">
        <v>57.11</v>
      </c>
      <c r="H35">
        <v>0.274776785714286</v>
      </c>
      <c r="I35">
        <v>46155</v>
      </c>
      <c r="J35">
        <v>0.094</v>
      </c>
      <c r="K35">
        <v>21</v>
      </c>
      <c r="L35">
        <v>20260515</v>
      </c>
      <c r="M35" t="str">
        <v>培育钻石/超硬材料</v>
      </c>
      <c r="N35" t="str">
        <v>新材料</v>
      </c>
    </row>
    <row r="36">
      <c r="A36">
        <v>35</v>
      </c>
      <c r="B36">
        <v>46127</v>
      </c>
      <c r="C36" t="str">
        <v>四方达</v>
      </c>
      <c r="D36" t="str">
        <v>300179</v>
      </c>
      <c r="E36">
        <v>24.51</v>
      </c>
      <c r="F36">
        <v>20260515</v>
      </c>
      <c r="G36">
        <v>28.63</v>
      </c>
      <c r="H36">
        <v>0.168094655242758</v>
      </c>
      <c r="I36">
        <v>46155</v>
      </c>
      <c r="J36">
        <v>0.0747</v>
      </c>
      <c r="K36">
        <v>21</v>
      </c>
      <c r="L36">
        <v>20260515</v>
      </c>
      <c r="M36" t="str">
        <v>超硬材料</v>
      </c>
      <c r="N36" t="str">
        <v>新材料</v>
      </c>
    </row>
    <row r="37">
      <c r="A37">
        <v>36</v>
      </c>
      <c r="B37">
        <v>46132</v>
      </c>
      <c r="C37" t="str">
        <v>舒泰神</v>
      </c>
      <c r="D37" t="str">
        <v>300204</v>
      </c>
      <c r="E37">
        <v>30.01</v>
      </c>
      <c r="F37">
        <v>20260520</v>
      </c>
      <c r="G37">
        <v>26.58</v>
      </c>
      <c r="H37">
        <v>-0.114295234921693</v>
      </c>
      <c r="I37">
        <v>46148</v>
      </c>
      <c r="J37">
        <v>0.0427</v>
      </c>
      <c r="K37">
        <v>13</v>
      </c>
      <c r="L37">
        <v>20260520</v>
      </c>
      <c r="M37" t="str">
        <v>生物制品/创新药</v>
      </c>
      <c r="N37" t="str">
        <v>医药生物</v>
      </c>
    </row>
    <row r="38">
      <c r="A38">
        <v>37</v>
      </c>
      <c r="B38">
        <v>46132</v>
      </c>
      <c r="C38" t="str">
        <v>三生国健</v>
      </c>
      <c r="D38" t="str">
        <v>688336</v>
      </c>
      <c r="E38">
        <v>85.75</v>
      </c>
      <c r="F38">
        <v>20260520</v>
      </c>
      <c r="G38">
        <v>63.48</v>
      </c>
      <c r="H38">
        <v>-0.259708454810496</v>
      </c>
      <c r="I38">
        <v>46153</v>
      </c>
      <c r="J38">
        <v>0.028</v>
      </c>
      <c r="K38">
        <v>16</v>
      </c>
      <c r="L38">
        <v>20260520</v>
      </c>
      <c r="M38" t="str">
        <v>抗体药物/生物制品</v>
      </c>
      <c r="N38" t="str">
        <v>医药生物</v>
      </c>
    </row>
    <row r="39">
      <c r="A39">
        <v>38</v>
      </c>
      <c r="B39">
        <v>46134</v>
      </c>
      <c r="C39" t="str">
        <v>容百科技</v>
      </c>
      <c r="D39" t="str">
        <v>688005</v>
      </c>
      <c r="E39">
        <v>34.3</v>
      </c>
      <c r="F39">
        <v>20260522</v>
      </c>
      <c r="G39">
        <v>34.91</v>
      </c>
      <c r="H39">
        <v>0.0177842565597667</v>
      </c>
      <c r="I39">
        <v>46148</v>
      </c>
      <c r="J39">
        <v>0.0959</v>
      </c>
      <c r="K39">
        <v>11</v>
      </c>
      <c r="L39">
        <v>20260522</v>
      </c>
      <c r="M39" t="str">
        <v>锂电正极材料</v>
      </c>
      <c r="N39" t="str">
        <v>电力设备</v>
      </c>
    </row>
    <row r="40">
      <c r="A40">
        <v>39</v>
      </c>
      <c r="B40">
        <v>46134</v>
      </c>
      <c r="C40" t="str">
        <v>鼎胜新材</v>
      </c>
      <c r="D40" t="str">
        <v>603876</v>
      </c>
      <c r="E40">
        <v>26.6</v>
      </c>
      <c r="F40">
        <v>20260522</v>
      </c>
      <c r="G40">
        <v>27.5</v>
      </c>
      <c r="H40">
        <v>0.0338345864661654</v>
      </c>
      <c r="I40">
        <v>46136</v>
      </c>
      <c r="J40">
        <v>0.1</v>
      </c>
      <c r="K40">
        <v>3</v>
      </c>
      <c r="L40">
        <v>20260522</v>
      </c>
      <c r="M40" t="str">
        <v>铝加工/电池箔</v>
      </c>
      <c r="N40" t="str">
        <v>有色金属</v>
      </c>
    </row>
    <row r="41">
      <c r="A41">
        <v>40</v>
      </c>
      <c r="B41">
        <v>46136</v>
      </c>
      <c r="C41" t="str">
        <v>江河集团</v>
      </c>
      <c r="D41" t="str">
        <v>601886</v>
      </c>
      <c r="E41">
        <v>10.16</v>
      </c>
      <c r="F41">
        <v>20260522</v>
      </c>
      <c r="G41">
        <v>8.89</v>
      </c>
      <c r="H41">
        <v>-0.125</v>
      </c>
      <c r="I41">
        <v>46149</v>
      </c>
      <c r="J41">
        <v>0.0227</v>
      </c>
      <c r="K41">
        <v>10</v>
      </c>
      <c r="L41">
        <v>20260522</v>
      </c>
      <c r="M41" t="str">
        <v>建筑幕墙装饰</v>
      </c>
      <c r="N41" t="str">
        <v>建筑装饰</v>
      </c>
    </row>
    <row r="42">
      <c r="A42">
        <v>41</v>
      </c>
      <c r="B42">
        <v>46136</v>
      </c>
      <c r="C42" t="str">
        <v>森特股份</v>
      </c>
      <c r="D42" t="str">
        <v>603098</v>
      </c>
      <c r="E42">
        <v>15.25</v>
      </c>
      <c r="F42">
        <v>20260522</v>
      </c>
      <c r="G42">
        <v>12.65</v>
      </c>
      <c r="H42">
        <v>-0.170491803278689</v>
      </c>
      <c r="I42">
        <v>46141</v>
      </c>
      <c r="J42">
        <v>0.018</v>
      </c>
      <c r="K42">
        <v>4</v>
      </c>
      <c r="L42">
        <v>20260522</v>
      </c>
      <c r="M42" t="str">
        <v>金属围护/建筑工程</v>
      </c>
      <c r="N42" t="str">
        <v>建筑装饰</v>
      </c>
    </row>
    <row r="43">
      <c r="A43">
        <v>42</v>
      </c>
      <c r="B43">
        <v>46136</v>
      </c>
      <c r="C43" t="str">
        <v>美湖股份</v>
      </c>
      <c r="D43" t="str">
        <v>603319</v>
      </c>
      <c r="E43">
        <v>38.01</v>
      </c>
      <c r="F43">
        <v>20260522</v>
      </c>
      <c r="G43">
        <v>31.87</v>
      </c>
      <c r="H43">
        <v>-0.161536437779532</v>
      </c>
      <c r="I43">
        <v>46163</v>
      </c>
      <c r="J43">
        <v>0.0881</v>
      </c>
      <c r="K43">
        <v>20</v>
      </c>
      <c r="L43">
        <v>20260522</v>
      </c>
      <c r="M43" t="str">
        <v>汽车零部件</v>
      </c>
      <c r="N43" t="str">
        <v>汽车</v>
      </c>
    </row>
    <row r="44">
      <c r="A44">
        <v>43</v>
      </c>
      <c r="B44">
        <v>46136</v>
      </c>
      <c r="C44" t="str">
        <v>浙江荣泰</v>
      </c>
      <c r="D44" t="str">
        <v>603119</v>
      </c>
      <c r="E44">
        <v>77.81</v>
      </c>
      <c r="F44">
        <v>20260522</v>
      </c>
      <c r="G44">
        <v>79.9</v>
      </c>
      <c r="H44">
        <v>0.0268603007325537</v>
      </c>
      <c r="I44">
        <v>46142</v>
      </c>
      <c r="J44">
        <v>0.1</v>
      </c>
      <c r="K44">
        <v>5</v>
      </c>
      <c r="L44">
        <v>20260522</v>
      </c>
      <c r="M44" t="str">
        <v>汽车绝缘材料</v>
      </c>
      <c r="N44" t="str">
        <v>汽车</v>
      </c>
    </row>
    <row r="45">
      <c r="A45">
        <v>44</v>
      </c>
      <c r="B45">
        <v>46140</v>
      </c>
      <c r="C45" t="str">
        <v>神火股份</v>
      </c>
      <c r="D45" t="str">
        <v>000933</v>
      </c>
      <c r="E45">
        <v>32.14</v>
      </c>
      <c r="F45">
        <v>20260528</v>
      </c>
      <c r="G45">
        <v>29.73</v>
      </c>
      <c r="H45">
        <v>-0.0749844430616055</v>
      </c>
      <c r="I45">
        <v>46168</v>
      </c>
      <c r="J45">
        <v>0.0624</v>
      </c>
      <c r="K45">
        <v>21</v>
      </c>
      <c r="L45">
        <v>20260528</v>
      </c>
      <c r="M45" t="str">
        <v>铝/煤炭</v>
      </c>
      <c r="N45" t="str">
        <v>有色金属</v>
      </c>
    </row>
    <row r="46">
      <c r="A46">
        <v>45</v>
      </c>
      <c r="B46">
        <v>46140</v>
      </c>
      <c r="C46" t="str">
        <v>中国铝业</v>
      </c>
      <c r="D46" t="str">
        <v>601600</v>
      </c>
      <c r="E46">
        <v>11.85</v>
      </c>
      <c r="F46">
        <v>20260528</v>
      </c>
      <c r="G46">
        <v>11.3</v>
      </c>
      <c r="H46">
        <v>-0.0464135021097046</v>
      </c>
      <c r="I46">
        <v>46168</v>
      </c>
      <c r="J46">
        <v>0.101</v>
      </c>
      <c r="K46">
        <v>21</v>
      </c>
      <c r="L46">
        <v>20260528</v>
      </c>
      <c r="M46" t="str">
        <v>铝冶炼</v>
      </c>
      <c r="N46" t="str">
        <v>有色金属</v>
      </c>
    </row>
    <row r="47">
      <c r="A47">
        <v>46</v>
      </c>
      <c r="B47">
        <v>46140</v>
      </c>
      <c r="C47" t="str">
        <v>华明装备</v>
      </c>
      <c r="D47" t="str">
        <v>002270</v>
      </c>
      <c r="E47">
        <v>26.55</v>
      </c>
      <c r="F47">
        <v>20260528</v>
      </c>
      <c r="G47">
        <v>23.05</v>
      </c>
      <c r="H47">
        <v>-0.131826741996234</v>
      </c>
      <c r="I47">
        <v>46167</v>
      </c>
      <c r="J47">
        <v>0.0423</v>
      </c>
      <c r="K47">
        <v>20</v>
      </c>
      <c r="L47">
        <v>20260528</v>
      </c>
      <c r="M47" t="str">
        <v>电力设备/分接开关</v>
      </c>
      <c r="N47" t="str">
        <v>电力设备</v>
      </c>
    </row>
    <row r="48">
      <c r="A48">
        <v>47</v>
      </c>
      <c r="B48">
        <v>46140</v>
      </c>
      <c r="C48" t="str">
        <v>伊戈尔</v>
      </c>
      <c r="D48" t="str">
        <v>002922</v>
      </c>
      <c r="E48">
        <v>40.7</v>
      </c>
      <c r="F48">
        <v>20260528</v>
      </c>
      <c r="G48">
        <v>47.27</v>
      </c>
      <c r="H48">
        <v>0.161425061425061</v>
      </c>
      <c r="I48">
        <v>46155</v>
      </c>
      <c r="J48">
        <v>0.1</v>
      </c>
      <c r="K48">
        <v>12</v>
      </c>
      <c r="L48">
        <v>20260528</v>
      </c>
      <c r="M48" t="str">
        <v>电源及变压器</v>
      </c>
      <c r="N48" t="str">
        <v>电力设备</v>
      </c>
    </row>
    <row r="49">
      <c r="A49">
        <v>48</v>
      </c>
      <c r="B49">
        <v>46148</v>
      </c>
      <c r="C49" t="str">
        <v>新风光</v>
      </c>
      <c r="D49" t="str">
        <v>688663</v>
      </c>
      <c r="E49">
        <v>68.86</v>
      </c>
      <c r="F49">
        <v>20260605</v>
      </c>
      <c r="G49">
        <v>88.37</v>
      </c>
      <c r="H49">
        <v>0.283328492593668</v>
      </c>
      <c r="I49">
        <v>46160</v>
      </c>
      <c r="J49">
        <v>0.1596</v>
      </c>
      <c r="K49">
        <v>9</v>
      </c>
      <c r="L49">
        <v>20260605</v>
      </c>
      <c r="M49" t="str">
        <v>电力电子设备</v>
      </c>
      <c r="N49" t="str">
        <v>电力设备</v>
      </c>
    </row>
    <row r="50">
      <c r="A50">
        <v>49</v>
      </c>
      <c r="B50">
        <v>46148</v>
      </c>
      <c r="C50" t="str">
        <v>特锐德</v>
      </c>
      <c r="D50" t="str">
        <v>300001</v>
      </c>
      <c r="E50">
        <v>29.68</v>
      </c>
      <c r="F50">
        <v>20260605</v>
      </c>
      <c r="G50">
        <v>39.86</v>
      </c>
      <c r="H50">
        <v>0.342991913746631</v>
      </c>
      <c r="I50">
        <v>46177</v>
      </c>
      <c r="J50">
        <v>0.1199</v>
      </c>
      <c r="K50">
        <v>22</v>
      </c>
      <c r="L50">
        <v>20260605</v>
      </c>
      <c r="M50" t="str">
        <v>充电桩/箱式电力设备</v>
      </c>
      <c r="N50" t="str">
        <v>电力设备</v>
      </c>
    </row>
    <row r="51">
      <c r="A51">
        <v>50</v>
      </c>
      <c r="B51">
        <v>46160</v>
      </c>
      <c r="C51" t="str">
        <v>首都在线</v>
      </c>
      <c r="D51" t="str">
        <v>300846</v>
      </c>
      <c r="E51">
        <v>31.41</v>
      </c>
      <c r="F51">
        <v>20260611</v>
      </c>
      <c r="G51">
        <v>20.92</v>
      </c>
      <c r="H51">
        <v>-0.3339700732250875</v>
      </c>
      <c r="I51">
        <v>46161</v>
      </c>
      <c r="J51">
        <v>0.0432</v>
      </c>
      <c r="K51">
        <v>2</v>
      </c>
      <c r="L51">
        <v>20260618</v>
      </c>
      <c r="M51" t="str">
        <v>云计算服务</v>
      </c>
      <c r="N51" t="str">
        <v>计算机</v>
      </c>
    </row>
    <row r="52">
      <c r="A52">
        <v>51</v>
      </c>
      <c r="B52">
        <v>46160</v>
      </c>
      <c r="C52" t="str">
        <v>科华数据</v>
      </c>
      <c r="D52" t="str">
        <v>002335</v>
      </c>
      <c r="E52">
        <v>67</v>
      </c>
      <c r="F52">
        <v>20260611</v>
      </c>
      <c r="G52">
        <v>35.37</v>
      </c>
      <c r="H52">
        <v>-0.472089552238806</v>
      </c>
      <c r="I52">
        <v>46175</v>
      </c>
      <c r="J52">
        <v>0.071</v>
      </c>
      <c r="K52">
        <v>12</v>
      </c>
      <c r="L52">
        <v>20260618</v>
      </c>
      <c r="M52" t="str">
        <v>电源设备/数据中心</v>
      </c>
      <c r="N52" t="str">
        <v>电力设备</v>
      </c>
    </row>
    <row r="53">
      <c r="A53">
        <v>52</v>
      </c>
      <c r="B53">
        <v>46163</v>
      </c>
      <c r="C53" t="str">
        <v>海博思创</v>
      </c>
      <c r="D53" t="str">
        <v>688411</v>
      </c>
      <c r="E53">
        <v>268</v>
      </c>
      <c r="F53">
        <v>20260611</v>
      </c>
      <c r="G53">
        <v>241.3</v>
      </c>
      <c r="H53">
        <v>-0.09962686567164175</v>
      </c>
      <c r="I53">
        <v>46167</v>
      </c>
      <c r="J53">
        <v>0.0823</v>
      </c>
      <c r="K53">
        <v>3</v>
      </c>
      <c r="L53">
        <v>20260619</v>
      </c>
      <c r="M53" t="str">
        <v>储能系统</v>
      </c>
      <c r="N53" t="str">
        <v>电力设备</v>
      </c>
    </row>
    <row r="54">
      <c r="A54">
        <v>53</v>
      </c>
      <c r="B54">
        <v>46163</v>
      </c>
      <c r="C54" t="str">
        <v>湖南裕能</v>
      </c>
      <c r="D54" t="str">
        <v>301358</v>
      </c>
      <c r="E54">
        <v>94.8</v>
      </c>
      <c r="F54">
        <v>20260611</v>
      </c>
      <c r="G54">
        <v>68.87</v>
      </c>
      <c r="H54">
        <v>-0.2735232067510548</v>
      </c>
      <c r="I54">
        <v>46171</v>
      </c>
      <c r="J54">
        <v>0.0156</v>
      </c>
      <c r="K54">
        <v>7</v>
      </c>
      <c r="L54">
        <v>20260619</v>
      </c>
      <c r="M54" t="str">
        <v>磷酸铁锂正极材料</v>
      </c>
      <c r="N54" t="str">
        <v>电力设备</v>
      </c>
    </row>
  </sheetData>
  <autoFilter ref="A1:O54"/>
  <pageMargins left="0.75" right="0.75" top="1" bottom="1" header="0.5" footer="0.5"/>
  <ignoredErrors>
    <ignoredError numberStoredAsText="1" sqref="A1:O54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 rightToLeft="0"/>
  </sheetViews>
  <sheetData/>
  <pageMargins left="0.7" right="0.7" top="0.75" bottom="0.75" header="0.3" footer="0.3"/>
  <ignoredErrors>
    <ignoredError numberStoredAsText="1" sqref="A1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A34"/>
  <sheetViews>
    <sheetView workbookViewId="0" rightToLeft="0"/>
  </sheetViews>
  <sheetData>
    <row r="1">
      <c r="A1" t="str">
        <v>holidays</v>
      </c>
    </row>
    <row r="2">
      <c r="A2">
        <v>46023</v>
      </c>
    </row>
    <row r="3">
      <c r="A3">
        <v>46024</v>
      </c>
    </row>
    <row r="4">
      <c r="A4">
        <v>46025</v>
      </c>
    </row>
    <row r="5">
      <c r="A5">
        <v>46068</v>
      </c>
    </row>
    <row r="6">
      <c r="A6">
        <v>46069</v>
      </c>
    </row>
    <row r="7">
      <c r="A7">
        <v>46070</v>
      </c>
    </row>
    <row r="8">
      <c r="A8">
        <v>46071</v>
      </c>
    </row>
    <row r="9">
      <c r="A9">
        <v>46072</v>
      </c>
    </row>
    <row r="10">
      <c r="A10">
        <v>46073</v>
      </c>
    </row>
    <row r="11">
      <c r="A11">
        <v>46074</v>
      </c>
    </row>
    <row r="12">
      <c r="A12">
        <v>46075</v>
      </c>
    </row>
    <row r="13">
      <c r="A13">
        <v>46076</v>
      </c>
    </row>
    <row r="14">
      <c r="A14">
        <v>46116</v>
      </c>
    </row>
    <row r="15">
      <c r="A15">
        <v>46117</v>
      </c>
    </row>
    <row r="16">
      <c r="A16">
        <v>46118</v>
      </c>
    </row>
    <row r="17">
      <c r="A17">
        <v>46143</v>
      </c>
    </row>
    <row r="18">
      <c r="A18">
        <v>46144</v>
      </c>
    </row>
    <row r="19">
      <c r="A19">
        <v>46145</v>
      </c>
    </row>
    <row r="20">
      <c r="A20">
        <v>46146</v>
      </c>
    </row>
    <row r="21">
      <c r="A21">
        <v>46147</v>
      </c>
    </row>
    <row r="22">
      <c r="A22">
        <v>46192</v>
      </c>
    </row>
    <row r="23">
      <c r="A23">
        <v>46193</v>
      </c>
    </row>
    <row r="24">
      <c r="A24">
        <v>46194</v>
      </c>
    </row>
    <row r="25">
      <c r="A25">
        <v>46290</v>
      </c>
    </row>
    <row r="26">
      <c r="A26">
        <v>46291</v>
      </c>
    </row>
    <row r="27">
      <c r="A27">
        <v>46292</v>
      </c>
    </row>
    <row r="28">
      <c r="A28">
        <v>46296</v>
      </c>
    </row>
    <row r="29">
      <c r="A29">
        <v>46297</v>
      </c>
    </row>
    <row r="30">
      <c r="A30">
        <v>46298</v>
      </c>
    </row>
    <row r="31">
      <c r="A31">
        <v>46299</v>
      </c>
    </row>
    <row r="32">
      <c r="A32">
        <v>46300</v>
      </c>
    </row>
    <row r="33">
      <c r="A33">
        <v>46301</v>
      </c>
    </row>
    <row r="34">
      <c r="A34">
        <v>46302</v>
      </c>
    </row>
  </sheetData>
  <pageMargins left="0.7" right="0.7" top="0.75" bottom="0.75" header="0.3" footer="0.3"/>
  <ignoredErrors>
    <ignoredError numberStoredAsText="1" sqref="A1:A34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O61"/>
  <sheetViews>
    <sheetView workbookViewId="0" rightToLeft="0"/>
  </sheetViews>
  <sheetData>
    <row r="1">
      <c r="A1" t="str">
        <v>序号</v>
      </c>
      <c r="B1" t="str">
        <v>个股推荐日期</v>
      </c>
      <c r="C1" t="str">
        <v>个股名称</v>
      </c>
      <c r="D1" t="str">
        <v>代码</v>
      </c>
      <c r="E1" t="str">
        <v>推荐日开盘价</v>
      </c>
      <c r="F1" t="str">
        <v>统计截止日期</v>
      </c>
      <c r="G1" t="str">
        <v>截止日收盘价</v>
      </c>
      <c r="H1" t="str">
        <v>区间涨跌幅</v>
      </c>
      <c r="I1" t="str">
        <v>最高涨幅发生日期</v>
      </c>
      <c r="J1" t="str">
        <v>最高涨幅（%）</v>
      </c>
      <c r="K1" t="str">
        <v>距推荐日交易天数</v>
      </c>
      <c r="L1" t="str">
        <v>截止跟踪日</v>
      </c>
      <c r="M1" t="str">
        <v>原始行业</v>
      </c>
      <c r="N1" t="str">
        <v>行业大类</v>
      </c>
    </row>
    <row r="2">
      <c r="A2">
        <v>1</v>
      </c>
      <c r="B2">
        <v>46078</v>
      </c>
      <c r="C2" t="str">
        <v>国瓷材料</v>
      </c>
      <c r="D2">
        <v>300285</v>
      </c>
      <c r="E2">
        <v>34.85</v>
      </c>
      <c r="F2">
        <v>20260507</v>
      </c>
      <c r="G2">
        <v>38.68</v>
      </c>
      <c r="H2">
        <f>(G2-E2)/E2</f>
        <v>0.10989956958393109</v>
      </c>
      <c r="I2">
        <v>46091</v>
      </c>
      <c r="J2">
        <v>0.1107</v>
      </c>
      <c r="K2">
        <f>NETWORKDAYS(B2,I2,假期!A2:A34)</f>
        <v>10</v>
      </c>
      <c r="L2">
        <f>F2</f>
        <v>20260507</v>
      </c>
      <c r="M2" t="str">
        <v>电子陶瓷/电子材料</v>
      </c>
      <c r="N2" t="str">
        <v>新材料</v>
      </c>
    </row>
    <row r="3">
      <c r="A3">
        <v>2</v>
      </c>
      <c r="B3">
        <v>46078</v>
      </c>
      <c r="C3" t="str">
        <v>风华高科</v>
      </c>
      <c r="D3" t="str">
        <v>000636</v>
      </c>
      <c r="E3">
        <v>25.04</v>
      </c>
      <c r="F3">
        <v>20260507</v>
      </c>
      <c r="G3">
        <v>25.15</v>
      </c>
      <c r="H3">
        <f>(G3-E3)/E3</f>
        <v>0.004392971246006367</v>
      </c>
      <c r="I3">
        <v>46078</v>
      </c>
      <c r="J3">
        <v>0.1</v>
      </c>
      <c r="K3">
        <f>NETWORKDAYS(B3,I3,假期!A3:A35)</f>
        <v>1</v>
      </c>
      <c r="L3">
        <f>F3</f>
        <v>20260507</v>
      </c>
      <c r="M3" t="str">
        <v>被动元件</v>
      </c>
      <c r="N3" t="str">
        <v>电子</v>
      </c>
    </row>
    <row r="4">
      <c r="A4">
        <v>3</v>
      </c>
      <c r="B4">
        <v>46078</v>
      </c>
      <c r="C4" t="str">
        <v>达利凯普</v>
      </c>
      <c r="D4">
        <v>301566</v>
      </c>
      <c r="E4">
        <v>25.4</v>
      </c>
      <c r="F4">
        <v>20260507</v>
      </c>
      <c r="G4">
        <v>25.58</v>
      </c>
      <c r="H4">
        <f>(G4-E4)/E4</f>
        <v>0.007086614173228336</v>
      </c>
      <c r="I4">
        <v>46120</v>
      </c>
      <c r="J4">
        <v>0.0735</v>
      </c>
      <c r="K4">
        <f>NETWORKDAYS(B4,I4,假期!A4:A36)</f>
        <v>30</v>
      </c>
      <c r="L4">
        <f>F4</f>
        <v>20260507</v>
      </c>
      <c r="M4" t="str">
        <v>被动元件/射频微波MLCC</v>
      </c>
      <c r="N4" t="str">
        <v>电子</v>
      </c>
    </row>
    <row r="5">
      <c r="A5">
        <v>4</v>
      </c>
      <c r="B5">
        <v>46080</v>
      </c>
      <c r="C5" t="str">
        <v>华锐精密</v>
      </c>
      <c r="D5">
        <v>688059</v>
      </c>
      <c r="E5">
        <v>122.88</v>
      </c>
      <c r="F5">
        <v>20260507</v>
      </c>
      <c r="G5">
        <v>146.8</v>
      </c>
      <c r="H5">
        <f>(G5-E5)/E5</f>
        <v>0.19466145833333348</v>
      </c>
      <c r="I5">
        <v>46141</v>
      </c>
      <c r="J5">
        <v>0.1724</v>
      </c>
      <c r="K5">
        <f>NETWORKDAYS(B5,I5,假期!A5:A37)</f>
        <v>43</v>
      </c>
      <c r="L5">
        <f>F5</f>
        <v>20260507</v>
      </c>
      <c r="M5" t="str">
        <v>数控刀具/硬质合金工具</v>
      </c>
      <c r="N5" t="str">
        <v>机械设备</v>
      </c>
    </row>
    <row r="6">
      <c r="A6">
        <v>5</v>
      </c>
      <c r="B6">
        <v>46080</v>
      </c>
      <c r="C6" t="str">
        <v>新锐股份</v>
      </c>
      <c r="D6">
        <v>688257</v>
      </c>
      <c r="E6">
        <v>60.1</v>
      </c>
      <c r="F6">
        <v>20260507</v>
      </c>
      <c r="G6">
        <v>76.15</v>
      </c>
      <c r="H6">
        <f>(G6-E6)/E6</f>
        <v>0.26705490848585695</v>
      </c>
      <c r="I6">
        <v>46083</v>
      </c>
      <c r="J6">
        <v>0.1497</v>
      </c>
      <c r="K6">
        <f>NETWORKDAYS(B6,I6,假期!A6:A38)</f>
        <v>2</v>
      </c>
      <c r="L6">
        <f>F6</f>
        <v>20260507</v>
      </c>
      <c r="M6" t="str">
        <v>硬质合金工具</v>
      </c>
      <c r="N6" t="str">
        <v>机械设备</v>
      </c>
    </row>
    <row r="7">
      <c r="A7">
        <v>6</v>
      </c>
      <c r="B7">
        <v>46080</v>
      </c>
      <c r="C7" t="str">
        <v>云南锗业</v>
      </c>
      <c r="D7" t="str">
        <v>002428</v>
      </c>
      <c r="E7">
        <v>44.66</v>
      </c>
      <c r="F7">
        <v>20260507</v>
      </c>
      <c r="G7">
        <v>80.2</v>
      </c>
      <c r="H7">
        <f>(G7-E7)/E7</f>
        <v>0.7957904164800719</v>
      </c>
      <c r="I7">
        <v>46129</v>
      </c>
      <c r="J7">
        <v>0.1001</v>
      </c>
      <c r="K7">
        <f>NETWORKDAYS(B7,I7,假期!A7:A39)</f>
        <v>35</v>
      </c>
      <c r="L7">
        <f>F7</f>
        <v>20260507</v>
      </c>
      <c r="M7" t="str">
        <v>小金属/锗材料</v>
      </c>
      <c r="N7" t="str">
        <v>有色金属</v>
      </c>
    </row>
    <row r="8">
      <c r="A8">
        <v>7</v>
      </c>
      <c r="B8">
        <v>46086</v>
      </c>
      <c r="C8" t="str">
        <v>华鲁恒升</v>
      </c>
      <c r="D8">
        <v>600426</v>
      </c>
      <c r="E8">
        <v>39.3</v>
      </c>
      <c r="F8">
        <v>20260507</v>
      </c>
      <c r="G8">
        <v>36.12</v>
      </c>
      <c r="H8">
        <f>(G8-E8)/E8</f>
        <v>-0.08091603053435115</v>
      </c>
      <c r="I8">
        <v>46119</v>
      </c>
      <c r="J8">
        <v>0.0943</v>
      </c>
      <c r="K8">
        <f>NETWORKDAYS(B8,I8,假期!A8:A40)</f>
        <v>23</v>
      </c>
      <c r="L8">
        <f>F8</f>
        <v>20260507</v>
      </c>
      <c r="M8" t="str">
        <v>煤化工/化学原料</v>
      </c>
      <c r="N8" t="str">
        <v>基础化工</v>
      </c>
    </row>
    <row r="9">
      <c r="A9">
        <v>8</v>
      </c>
      <c r="B9">
        <v>46086</v>
      </c>
      <c r="C9" t="str">
        <v>湖北宜化</v>
      </c>
      <c r="D9" t="str">
        <v>000422</v>
      </c>
      <c r="E9">
        <v>18.27</v>
      </c>
      <c r="F9">
        <v>20260507</v>
      </c>
      <c r="G9">
        <v>16.09</v>
      </c>
      <c r="H9">
        <f>(G9-E9)/E9</f>
        <v>-0.11932129173508482</v>
      </c>
      <c r="I9">
        <v>46104</v>
      </c>
      <c r="J9">
        <v>0.0784</v>
      </c>
      <c r="K9">
        <f>NETWORKDAYS(B9,I9,假期!A9:A41)</f>
        <v>13</v>
      </c>
      <c r="L9">
        <f>F9</f>
        <v>20260507</v>
      </c>
      <c r="M9" t="str">
        <v>磷化工/化肥</v>
      </c>
      <c r="N9" t="str">
        <v>基础化工</v>
      </c>
    </row>
    <row r="10">
      <c r="A10">
        <v>9</v>
      </c>
      <c r="B10">
        <v>46087</v>
      </c>
      <c r="C10" t="str">
        <v>华灿光电</v>
      </c>
      <c r="D10">
        <v>300323</v>
      </c>
      <c r="E10">
        <v>11.51</v>
      </c>
      <c r="F10">
        <v>20260507</v>
      </c>
      <c r="G10">
        <v>12.75</v>
      </c>
      <c r="H10">
        <f>(G10-E10)/E10</f>
        <v>0.10773240660295397</v>
      </c>
      <c r="I10">
        <v>46087</v>
      </c>
      <c r="J10">
        <v>0.1649</v>
      </c>
      <c r="K10">
        <f>NETWORKDAYS(B10,I10,假期!A10:A42)</f>
        <v>1</v>
      </c>
      <c r="L10">
        <f>F10</f>
        <v>20260507</v>
      </c>
      <c r="M10" t="str">
        <v>LED芯片</v>
      </c>
      <c r="N10" t="str">
        <v>电子</v>
      </c>
    </row>
    <row r="11">
      <c r="A11">
        <v>10</v>
      </c>
      <c r="B11">
        <v>46087</v>
      </c>
      <c r="C11" t="str">
        <v>新相微</v>
      </c>
      <c r="D11">
        <v>688593</v>
      </c>
      <c r="E11">
        <v>35.1</v>
      </c>
      <c r="F11">
        <v>20260507</v>
      </c>
      <c r="G11">
        <v>39.94</v>
      </c>
      <c r="H11">
        <f>(G11-E11)/E11</f>
        <v>0.13789173789173778</v>
      </c>
      <c r="I11">
        <v>46149</v>
      </c>
      <c r="J11">
        <v>0.1631</v>
      </c>
      <c r="K11">
        <f>NETWORKDAYS(B11,I11,假期!A11:A43)</f>
        <v>41</v>
      </c>
      <c r="L11">
        <f>F11</f>
        <v>20260507</v>
      </c>
      <c r="M11" t="str">
        <v>显示驱动芯片</v>
      </c>
      <c r="N11" t="str">
        <v>电子</v>
      </c>
    </row>
    <row r="12">
      <c r="A12">
        <v>11</v>
      </c>
      <c r="B12">
        <v>46087</v>
      </c>
      <c r="C12" t="str">
        <v>利亚德</v>
      </c>
      <c r="D12">
        <v>300296</v>
      </c>
      <c r="E12">
        <v>8.62</v>
      </c>
      <c r="F12">
        <v>20260507</v>
      </c>
      <c r="G12">
        <v>6.58</v>
      </c>
      <c r="H12">
        <f>(G12-E12)/E12</f>
        <v>-0.2366589327146171</v>
      </c>
      <c r="I12">
        <v>46120</v>
      </c>
      <c r="J12">
        <v>0.0812</v>
      </c>
      <c r="K12">
        <f>NETWORKDAYS(B12,I12,假期!A12:A44)</f>
        <v>23</v>
      </c>
      <c r="L12">
        <f>F12</f>
        <v>20260507</v>
      </c>
      <c r="M12" t="str">
        <v>LED显示</v>
      </c>
      <c r="N12" t="str">
        <v>电子</v>
      </c>
    </row>
    <row r="13">
      <c r="A13">
        <v>12</v>
      </c>
      <c r="B13">
        <v>46087</v>
      </c>
      <c r="C13" t="str">
        <v>兆驰股份</v>
      </c>
      <c r="D13" t="str">
        <v>002429</v>
      </c>
      <c r="E13">
        <v>11.24</v>
      </c>
      <c r="F13">
        <v>20260507</v>
      </c>
      <c r="G13">
        <v>12.08</v>
      </c>
      <c r="H13">
        <f>(G13-E13)/E13</f>
        <v>0.07473309608540923</v>
      </c>
      <c r="I13">
        <v>46094</v>
      </c>
      <c r="J13">
        <v>0.1005</v>
      </c>
      <c r="K13">
        <f>NETWORKDAYS(B13,I13,假期!A13:A45)</f>
        <v>6</v>
      </c>
      <c r="L13">
        <f>F13</f>
        <v>20260507</v>
      </c>
      <c r="M13" t="str">
        <v>显示终端/LED产业链</v>
      </c>
      <c r="N13" t="str">
        <v>家用电器/电子</v>
      </c>
    </row>
    <row r="14">
      <c r="A14">
        <v>13</v>
      </c>
      <c r="B14">
        <v>46087</v>
      </c>
      <c r="C14" t="str">
        <v>安光电</v>
      </c>
      <c r="D14">
        <v>600703</v>
      </c>
      <c r="E14">
        <v>17.08</v>
      </c>
      <c r="F14">
        <v>20260507</v>
      </c>
      <c r="G14">
        <v>15.14</v>
      </c>
      <c r="H14">
        <f>(G14-E14)/E14</f>
        <v>-0.11358313817330198</v>
      </c>
      <c r="I14">
        <v>46134</v>
      </c>
      <c r="J14">
        <v>0.1001</v>
      </c>
      <c r="K14">
        <f>NETWORKDAYS(B14,I14,假期!A14:A46)</f>
        <v>33</v>
      </c>
      <c r="L14">
        <f>F14</f>
        <v>20260507</v>
      </c>
      <c r="M14" t="str">
        <v>LED芯片/化合物半导体</v>
      </c>
      <c r="N14" t="str">
        <v>电子</v>
      </c>
    </row>
    <row r="15">
      <c r="A15">
        <v>14</v>
      </c>
      <c r="B15">
        <v>46087</v>
      </c>
      <c r="C15" t="str">
        <v>乾照光电</v>
      </c>
      <c r="D15">
        <v>300102</v>
      </c>
      <c r="E15">
        <v>35.2</v>
      </c>
      <c r="F15">
        <v>20260507</v>
      </c>
      <c r="G15">
        <v>31.27</v>
      </c>
      <c r="H15">
        <f>(G15-E15)/E15</f>
        <v>-0.11164772727272736</v>
      </c>
      <c r="I15">
        <v>46132</v>
      </c>
      <c r="J15">
        <v>0.0793</v>
      </c>
      <c r="K15">
        <f>NETWORKDAYS(B15,I15,假期!A15:A47)</f>
        <v>31</v>
      </c>
      <c r="L15">
        <f>F15</f>
        <v>20260507</v>
      </c>
      <c r="M15" t="str">
        <v>LED芯片</v>
      </c>
      <c r="N15" t="str">
        <v>电子</v>
      </c>
    </row>
    <row r="16">
      <c r="A16">
        <v>15</v>
      </c>
      <c r="B16">
        <v>46091</v>
      </c>
      <c r="C16" t="str">
        <v>万兴科技</v>
      </c>
      <c r="D16">
        <v>300624</v>
      </c>
      <c r="E16">
        <v>80.29</v>
      </c>
      <c r="F16">
        <v>20260507</v>
      </c>
      <c r="G16">
        <v>71.29</v>
      </c>
      <c r="H16">
        <f>(G16-E16)/E16</f>
        <v>-0.11209366048075725</v>
      </c>
      <c r="I16">
        <v>46120</v>
      </c>
      <c r="J16">
        <v>0.0985</v>
      </c>
      <c r="K16">
        <f>NETWORKDAYS(B16,I16,假期!A16:A48)</f>
        <v>21</v>
      </c>
      <c r="L16">
        <f>F16</f>
        <v>20260507</v>
      </c>
      <c r="M16" t="str">
        <v>数字创意软件</v>
      </c>
      <c r="N16" t="str">
        <v>计算机</v>
      </c>
    </row>
    <row r="17">
      <c r="A17">
        <v>16</v>
      </c>
      <c r="B17">
        <v>46091</v>
      </c>
      <c r="C17" t="str">
        <v>优刻得</v>
      </c>
      <c r="D17">
        <v>688158</v>
      </c>
      <c r="E17">
        <v>51.89</v>
      </c>
      <c r="F17">
        <v>20260507</v>
      </c>
      <c r="G17">
        <v>52.76</v>
      </c>
      <c r="H17">
        <f>(G17-E17)/E17</f>
        <v>0.016766236269030593</v>
      </c>
      <c r="I17">
        <v>46120</v>
      </c>
      <c r="J17">
        <v>0.1395</v>
      </c>
      <c r="K17">
        <f>NETWORKDAYS(B17,I17,假期!A17:A49)</f>
        <v>22</v>
      </c>
      <c r="L17">
        <f>F17</f>
        <v>20260507</v>
      </c>
      <c r="M17" t="str">
        <v>云计算服务</v>
      </c>
      <c r="N17" t="str">
        <v>计算机</v>
      </c>
    </row>
    <row r="18">
      <c r="A18">
        <v>17</v>
      </c>
      <c r="B18">
        <v>46091</v>
      </c>
      <c r="C18" t="str">
        <v>顺网科技</v>
      </c>
      <c r="D18">
        <v>300113</v>
      </c>
      <c r="E18">
        <v>30.88</v>
      </c>
      <c r="F18">
        <v>20260507</v>
      </c>
      <c r="G18">
        <v>28.92</v>
      </c>
      <c r="H18">
        <f>(G18-E18)/E18</f>
        <v>-0.0634715025906735</v>
      </c>
      <c r="I18">
        <v>46120</v>
      </c>
      <c r="J18">
        <v>0.1323</v>
      </c>
      <c r="K18">
        <f>NETWORKDAYS(B18,I18,假期!A18:A50)</f>
        <v>22</v>
      </c>
      <c r="L18">
        <f>F18</f>
        <v>20260507</v>
      </c>
      <c r="M18" t="str">
        <v>互联网服务/游戏服务</v>
      </c>
      <c r="N18" t="str">
        <v>传媒</v>
      </c>
    </row>
    <row r="19">
      <c r="A19">
        <v>18</v>
      </c>
      <c r="B19">
        <v>46091</v>
      </c>
      <c r="C19" t="str">
        <v>中科创达</v>
      </c>
      <c r="D19">
        <v>300496</v>
      </c>
      <c r="E19">
        <v>72</v>
      </c>
      <c r="F19">
        <v>20260507</v>
      </c>
      <c r="G19">
        <v>66.12</v>
      </c>
      <c r="H19">
        <f>(G19-E19)/E19</f>
        <v>-0.08166666666666661</v>
      </c>
      <c r="I19">
        <v>46120</v>
      </c>
      <c r="J19">
        <v>0.0804</v>
      </c>
      <c r="K19">
        <f>NETWORKDAYS(B19,I19,假期!A19:A51)</f>
        <v>22</v>
      </c>
      <c r="L19">
        <f>F19</f>
        <v>20260507</v>
      </c>
      <c r="M19" t="str">
        <v>操作系统软件</v>
      </c>
      <c r="N19" t="str">
        <v>计算机</v>
      </c>
    </row>
    <row r="20">
      <c r="A20">
        <v>19</v>
      </c>
      <c r="B20">
        <v>46091</v>
      </c>
      <c r="C20" t="str">
        <v>拓维信息</v>
      </c>
      <c r="D20" t="str">
        <v>002261</v>
      </c>
      <c r="E20">
        <v>42.15</v>
      </c>
      <c r="F20">
        <v>20260507</v>
      </c>
      <c r="G20">
        <v>37.75</v>
      </c>
      <c r="H20">
        <f>(G20-E20)/E20</f>
        <v>-0.10438908659549226</v>
      </c>
      <c r="I20">
        <v>46120</v>
      </c>
      <c r="J20">
        <v>0.0707</v>
      </c>
      <c r="K20">
        <f>NETWORKDAYS(B20,I20,假期!A20:A52)</f>
        <v>22</v>
      </c>
      <c r="L20">
        <f>F20</f>
        <v>20260507</v>
      </c>
      <c r="M20" t="str">
        <v>软件开发/IT服务</v>
      </c>
      <c r="N20" t="str">
        <v>计算机</v>
      </c>
    </row>
    <row r="21">
      <c r="A21">
        <v>20</v>
      </c>
      <c r="B21">
        <v>46091</v>
      </c>
      <c r="C21" t="str">
        <v>瑞芯微</v>
      </c>
      <c r="D21">
        <v>603893</v>
      </c>
      <c r="E21">
        <v>179.8</v>
      </c>
      <c r="F21">
        <v>20260507</v>
      </c>
      <c r="G21">
        <v>181.06</v>
      </c>
      <c r="H21">
        <f>(G21-E21)/E21</f>
        <v>0.007007786429365911</v>
      </c>
      <c r="I21">
        <v>46120</v>
      </c>
      <c r="J21">
        <v>0.0803</v>
      </c>
      <c r="K21">
        <f>NETWORKDAYS(B21,I21,假期!A21:A53)</f>
        <v>22</v>
      </c>
      <c r="L21">
        <f>F21</f>
        <v>20260507</v>
      </c>
      <c r="M21" t="str">
        <v>数字芯片设计</v>
      </c>
      <c r="N21" t="str">
        <v>电子</v>
      </c>
    </row>
    <row r="22">
      <c r="A22">
        <v>21</v>
      </c>
      <c r="B22">
        <v>46091</v>
      </c>
      <c r="C22" t="str">
        <v>北信源</v>
      </c>
      <c r="D22">
        <v>300352</v>
      </c>
      <c r="E22">
        <v>7.64</v>
      </c>
      <c r="F22">
        <v>20260507</v>
      </c>
      <c r="G22">
        <v>4.6</v>
      </c>
      <c r="H22">
        <f>(G22-E22)/E22</f>
        <v>-0.3979057591623037</v>
      </c>
      <c r="I22">
        <v>46128</v>
      </c>
      <c r="J22">
        <v>0.1141</v>
      </c>
      <c r="K22">
        <f>NETWORKDAYS(B22,I22,假期!A22:A54)</f>
        <v>28</v>
      </c>
      <c r="L22">
        <f>F22</f>
        <v>20260507</v>
      </c>
      <c r="M22" t="str">
        <v>网络安全软件</v>
      </c>
      <c r="N22" t="str">
        <v>计算机</v>
      </c>
    </row>
    <row r="23">
      <c r="A23">
        <v>22</v>
      </c>
      <c r="B23">
        <v>46093</v>
      </c>
      <c r="C23" t="str">
        <v>金杯电工</v>
      </c>
      <c r="D23" t="str">
        <v>002533</v>
      </c>
      <c r="E23">
        <v>15.85</v>
      </c>
      <c r="F23">
        <v>20260507</v>
      </c>
      <c r="G23">
        <v>13.96</v>
      </c>
      <c r="H23">
        <f>(G23-E23)/E23</f>
        <v>-0.11924290220820181</v>
      </c>
      <c r="I23">
        <v>46106</v>
      </c>
      <c r="J23">
        <v>0.0503</v>
      </c>
      <c r="K23">
        <f>NETWORKDAYS(B23,I23,假期!A23:A55)</f>
        <v>10</v>
      </c>
      <c r="L23">
        <f>F23</f>
        <v>20260507</v>
      </c>
      <c r="M23" t="str">
        <v>电线电缆</v>
      </c>
      <c r="N23" t="str">
        <v>电力设备</v>
      </c>
    </row>
    <row r="24">
      <c r="A24">
        <v>23</v>
      </c>
      <c r="B24">
        <v>46093</v>
      </c>
      <c r="C24" t="str">
        <v>法拉电子</v>
      </c>
      <c r="D24">
        <v>600563</v>
      </c>
      <c r="E24">
        <v>119</v>
      </c>
      <c r="F24">
        <v>20260507</v>
      </c>
      <c r="G24">
        <v>124.13</v>
      </c>
      <c r="H24">
        <f>(G24-E24)/E24</f>
        <v>0.043109243697478955</v>
      </c>
      <c r="I24">
        <v>46099</v>
      </c>
      <c r="J24">
        <v>0.0823</v>
      </c>
      <c r="K24">
        <f>NETWORKDAYS(B24,I24,假期!A24:A56)</f>
        <v>5</v>
      </c>
      <c r="L24">
        <f>F24</f>
        <v>20260507</v>
      </c>
      <c r="M24" t="str">
        <v>薄膜电容</v>
      </c>
      <c r="N24" t="str">
        <v>电子</v>
      </c>
    </row>
    <row r="25">
      <c r="A25">
        <v>24</v>
      </c>
      <c r="B25">
        <v>46093</v>
      </c>
      <c r="C25" t="str">
        <v>永福股份</v>
      </c>
      <c r="D25">
        <v>300712</v>
      </c>
      <c r="E25">
        <v>32.32</v>
      </c>
      <c r="F25">
        <v>20260507</v>
      </c>
      <c r="G25">
        <v>27.22</v>
      </c>
      <c r="H25">
        <f>(G25-E25)/E25</f>
        <v>-0.15779702970297033</v>
      </c>
      <c r="I25">
        <v>46105</v>
      </c>
      <c r="J25">
        <v>0.0534</v>
      </c>
      <c r="K25">
        <f>NETWORKDAYS(B25,I25,假期!A25:A57)</f>
        <v>9</v>
      </c>
      <c r="L25">
        <f>F25</f>
        <v>20260507</v>
      </c>
      <c r="M25" t="str">
        <v>电力工程设计</v>
      </c>
      <c r="N25" t="str">
        <v>建筑工程/电力设备</v>
      </c>
    </row>
    <row r="26">
      <c r="A26">
        <v>25</v>
      </c>
      <c r="B26">
        <v>46111</v>
      </c>
      <c r="C26" t="str">
        <v>永太科技</v>
      </c>
      <c r="D26" t="str">
        <v>002326</v>
      </c>
      <c r="E26">
        <v>23.12</v>
      </c>
      <c r="F26">
        <v>20260507</v>
      </c>
      <c r="G26">
        <v>24.52</v>
      </c>
      <c r="H26">
        <f>(G26-E26)/E26</f>
        <v>0.060553633217993015</v>
      </c>
      <c r="I26">
        <v>46126</v>
      </c>
      <c r="J26">
        <v>0.0623</v>
      </c>
      <c r="K26">
        <f>NETWORKDAYS(B26,I26,假期!A26:A58)</f>
        <v>12</v>
      </c>
      <c r="L26">
        <f>F26</f>
        <v>20260507</v>
      </c>
      <c r="M26" t="str">
        <v>氟化工/精细化工</v>
      </c>
      <c r="N26" t="str">
        <v>基础化工</v>
      </c>
    </row>
    <row r="27">
      <c r="A27">
        <v>26</v>
      </c>
      <c r="B27">
        <v>46111</v>
      </c>
      <c r="C27" t="str">
        <v>天赐材料</v>
      </c>
      <c r="D27" t="str">
        <v>002709</v>
      </c>
      <c r="E27">
        <v>47.23</v>
      </c>
      <c r="F27">
        <v>20260507</v>
      </c>
      <c r="G27">
        <v>62.8</v>
      </c>
      <c r="H27">
        <f>(G27-E27)/E27</f>
        <v>0.3296633495659539</v>
      </c>
      <c r="I27">
        <v>46141</v>
      </c>
      <c r="J27">
        <v>0.0939</v>
      </c>
      <c r="K27">
        <f>NETWORKDAYS(B27,I27,假期!A27:A59)</f>
        <v>23</v>
      </c>
      <c r="L27">
        <f>F27</f>
        <v>20260507</v>
      </c>
      <c r="M27" t="str">
        <v>锂电池电解液材料</v>
      </c>
      <c r="N27" t="str">
        <v>电力设备</v>
      </c>
    </row>
    <row r="28">
      <c r="A28">
        <v>27</v>
      </c>
      <c r="B28">
        <v>46120</v>
      </c>
      <c r="C28" t="str">
        <v>海光信息</v>
      </c>
      <c r="D28">
        <v>688041</v>
      </c>
      <c r="E28">
        <v>226.1</v>
      </c>
      <c r="F28">
        <v>20260507</v>
      </c>
      <c r="G28">
        <v>341.6</v>
      </c>
      <c r="H28">
        <f>(G28-E28)/E28</f>
        <v>0.5108359133126936</v>
      </c>
      <c r="I28">
        <v>46148</v>
      </c>
      <c r="J28">
        <v>0.1626</v>
      </c>
      <c r="K28">
        <f>NETWORKDAYS(B28,I28,假期!A28:A60)</f>
        <v>21</v>
      </c>
      <c r="L28">
        <f>F28</f>
        <v>20260507</v>
      </c>
      <c r="M28" t="str">
        <v>CPU/GPU芯片</v>
      </c>
      <c r="N28" t="str">
        <v>电子</v>
      </c>
    </row>
    <row r="29">
      <c r="A29">
        <v>28</v>
      </c>
      <c r="B29">
        <v>46120</v>
      </c>
      <c r="C29" t="str">
        <v>东山精密</v>
      </c>
      <c r="D29" t="str">
        <v>002384</v>
      </c>
      <c r="E29">
        <v>119.91</v>
      </c>
      <c r="F29">
        <v>20260507</v>
      </c>
      <c r="G29">
        <v>211.07</v>
      </c>
      <c r="H29">
        <f>(G29-E29)/E29</f>
        <v>0.7602368442998916</v>
      </c>
      <c r="I29">
        <v>46120</v>
      </c>
      <c r="J29">
        <v>0.1</v>
      </c>
      <c r="K29">
        <f>NETWORKDAYS(B29,I29,假期!A29:A61)</f>
        <v>1</v>
      </c>
      <c r="L29">
        <f>F29</f>
        <v>20260507</v>
      </c>
      <c r="M29" t="str">
        <v>PCB/精密制造</v>
      </c>
      <c r="N29" t="str">
        <v>电子</v>
      </c>
    </row>
    <row r="30">
      <c r="A30">
        <v>29</v>
      </c>
      <c r="B30">
        <v>46120</v>
      </c>
      <c r="C30" t="str">
        <v>香农芯创</v>
      </c>
      <c r="D30">
        <v>300475</v>
      </c>
      <c r="E30">
        <v>145.71</v>
      </c>
      <c r="F30">
        <v>20260507</v>
      </c>
      <c r="G30">
        <v>189.18</v>
      </c>
      <c r="H30">
        <f>(G30-E30)/E30</f>
        <v>0.2983323038912909</v>
      </c>
      <c r="I30">
        <v>46120</v>
      </c>
      <c r="J30">
        <v>0.2</v>
      </c>
      <c r="K30">
        <f>NETWORKDAYS(B30,I30,假期!A30:A62)</f>
        <v>1</v>
      </c>
      <c r="L30">
        <f>F30</f>
        <v>20260507</v>
      </c>
      <c r="M30" t="str">
        <v>电子元器件分销</v>
      </c>
      <c r="N30" t="str">
        <v>电子</v>
      </c>
    </row>
    <row r="31">
      <c r="A31">
        <v>30</v>
      </c>
      <c r="B31">
        <v>46126</v>
      </c>
      <c r="C31" t="str">
        <v>欣旺达</v>
      </c>
      <c r="D31">
        <v>300207</v>
      </c>
      <c r="E31">
        <v>28.95</v>
      </c>
      <c r="F31">
        <v>20260514</v>
      </c>
      <c r="G31">
        <v>25.51</v>
      </c>
      <c r="H31">
        <f>(G31-E31)/E31</f>
        <v>-0.11882556131260787</v>
      </c>
      <c r="I31">
        <v>46141</v>
      </c>
      <c r="J31">
        <v>0.0491</v>
      </c>
      <c r="K31">
        <f>NETWORKDAYS(B31,I31,假期!A32:A64)</f>
        <v>12</v>
      </c>
      <c r="L31">
        <v>20260514</v>
      </c>
      <c r="M31" t="str">
        <v>锂电池</v>
      </c>
      <c r="N31" t="str">
        <v>电力设备</v>
      </c>
    </row>
    <row r="32">
      <c r="A32">
        <v>31</v>
      </c>
      <c r="B32">
        <v>46126</v>
      </c>
      <c r="C32" t="str">
        <v>科华数据</v>
      </c>
      <c r="D32" t="str">
        <v>002335</v>
      </c>
      <c r="E32">
        <v>60.1</v>
      </c>
      <c r="F32">
        <v>20260514</v>
      </c>
      <c r="G32">
        <v>65.8</v>
      </c>
      <c r="H32">
        <f>(G32-E32)/E32</f>
        <v>0.09484193011647248</v>
      </c>
      <c r="I32">
        <v>46149</v>
      </c>
      <c r="J32">
        <v>0.1</v>
      </c>
      <c r="K32">
        <f>NETWORKDAYS(B32,I32,假期!A33:A65)</f>
        <v>18</v>
      </c>
      <c r="L32">
        <v>20260514</v>
      </c>
      <c r="M32" t="str">
        <v>电源设备/数据中心</v>
      </c>
      <c r="N32" t="str">
        <v>电力设备</v>
      </c>
    </row>
    <row r="33">
      <c r="A33">
        <v>32</v>
      </c>
      <c r="B33">
        <v>46126</v>
      </c>
      <c r="C33" t="str">
        <v>宏景科技</v>
      </c>
      <c r="D33">
        <v>301396</v>
      </c>
      <c r="E33">
        <v>214.97</v>
      </c>
      <c r="F33">
        <v>20260514</v>
      </c>
      <c r="G33">
        <v>330.28</v>
      </c>
      <c r="H33">
        <f>(G33-E33)/E33</f>
        <v>0.536400427966693</v>
      </c>
      <c r="I33">
        <v>46128</v>
      </c>
      <c r="J33">
        <v>0.2</v>
      </c>
      <c r="K33">
        <f>NETWORKDAYS(B33,I33,假期!A34:A66)</f>
        <v>3</v>
      </c>
      <c r="L33">
        <v>20260514</v>
      </c>
      <c r="M33" t="str">
        <v>智慧城市IT服务</v>
      </c>
      <c r="N33" t="str">
        <v>计算机</v>
      </c>
    </row>
    <row r="34">
      <c r="A34">
        <v>33</v>
      </c>
      <c r="B34">
        <v>46126</v>
      </c>
      <c r="C34" t="str">
        <v>协创数据</v>
      </c>
      <c r="D34">
        <v>300857</v>
      </c>
      <c r="E34">
        <v>240.06</v>
      </c>
      <c r="F34">
        <v>20260514</v>
      </c>
      <c r="G34">
        <v>288.03</v>
      </c>
      <c r="H34">
        <f>(G34-E34)/E34</f>
        <v>0.19982504373906512</v>
      </c>
      <c r="I34">
        <v>46126</v>
      </c>
      <c r="J34">
        <v>0.2</v>
      </c>
      <c r="K34">
        <f>NETWORKDAYS(B34,I34,假期!A35:A67)</f>
        <v>1</v>
      </c>
      <c r="L34">
        <v>20260514</v>
      </c>
      <c r="M34" t="str">
        <v>智能终端制造</v>
      </c>
      <c r="N34" t="str">
        <v>电子</v>
      </c>
    </row>
    <row r="35">
      <c r="A35">
        <v>34</v>
      </c>
      <c r="B35">
        <v>46127</v>
      </c>
      <c r="C35" t="str">
        <v>力量钻石</v>
      </c>
      <c r="D35">
        <v>301071</v>
      </c>
      <c r="E35">
        <v>44.8</v>
      </c>
      <c r="F35">
        <v>20260515</v>
      </c>
      <c r="G35">
        <v>57.11</v>
      </c>
      <c r="H35">
        <f>(G35-E35)/E35</f>
        <v>0.27477678571428577</v>
      </c>
      <c r="I35">
        <v>46155</v>
      </c>
      <c r="J35">
        <v>0.094</v>
      </c>
      <c r="K35">
        <f>NETWORKDAYS(B35,I35,假期!A36:A68)</f>
        <v>21</v>
      </c>
      <c r="L35">
        <v>20260515</v>
      </c>
      <c r="M35" t="str">
        <v>培育钻石/超硬材料</v>
      </c>
      <c r="N35" t="str">
        <v>新材料</v>
      </c>
    </row>
    <row r="36">
      <c r="A36">
        <v>35</v>
      </c>
      <c r="B36">
        <v>46127</v>
      </c>
      <c r="C36" t="str">
        <v>四方达</v>
      </c>
      <c r="D36">
        <v>300179</v>
      </c>
      <c r="E36">
        <v>24.51</v>
      </c>
      <c r="F36">
        <v>20260515</v>
      </c>
      <c r="G36">
        <v>28.63</v>
      </c>
      <c r="H36">
        <f>(G36-E36)/E36</f>
        <v>0.16809465524275793</v>
      </c>
      <c r="I36">
        <v>46155</v>
      </c>
      <c r="J36">
        <v>0.0747</v>
      </c>
      <c r="K36">
        <f>NETWORKDAYS(B36,I36,假期!A37:A69)</f>
        <v>21</v>
      </c>
      <c r="L36">
        <v>20260515</v>
      </c>
      <c r="M36" t="str">
        <v>超硬材料</v>
      </c>
      <c r="N36" t="str">
        <v>新材料</v>
      </c>
    </row>
    <row r="37">
      <c r="A37">
        <v>36</v>
      </c>
      <c r="B37">
        <v>46132</v>
      </c>
      <c r="C37" t="str">
        <v>舒泰神</v>
      </c>
      <c r="D37">
        <v>300204</v>
      </c>
      <c r="E37">
        <v>30.01</v>
      </c>
      <c r="F37">
        <v>20260520</v>
      </c>
      <c r="G37">
        <v>26.58</v>
      </c>
      <c r="H37">
        <f>(G37-E37)/E37</f>
        <v>-0.11429523492169287</v>
      </c>
      <c r="I37">
        <v>46148</v>
      </c>
      <c r="J37">
        <v>0.0427</v>
      </c>
      <c r="K37">
        <f>NETWORKDAYS(B37,I37,假期!A38:A70)</f>
        <v>13</v>
      </c>
      <c r="L37">
        <v>20260520</v>
      </c>
      <c r="M37" t="str">
        <v>生物制品/创新药</v>
      </c>
      <c r="N37" t="str">
        <v>医药生物</v>
      </c>
    </row>
    <row r="38">
      <c r="A38">
        <v>37</v>
      </c>
      <c r="B38">
        <v>46132</v>
      </c>
      <c r="C38" t="str">
        <v>三生国健</v>
      </c>
      <c r="D38">
        <v>688336</v>
      </c>
      <c r="E38">
        <v>85.75</v>
      </c>
      <c r="F38">
        <v>20260520</v>
      </c>
      <c r="G38">
        <v>63.48</v>
      </c>
      <c r="H38">
        <f>(G38-E38)/E38</f>
        <v>-0.25970845481049565</v>
      </c>
      <c r="I38">
        <v>46153</v>
      </c>
      <c r="J38">
        <v>0.028</v>
      </c>
      <c r="K38">
        <f>NETWORKDAYS(B38,I38,假期!A39:A71)</f>
        <v>16</v>
      </c>
      <c r="L38">
        <v>20260520</v>
      </c>
      <c r="M38" t="str">
        <v>抗体药物/生物制品</v>
      </c>
      <c r="N38" t="str">
        <v>医药生物</v>
      </c>
    </row>
    <row r="39">
      <c r="A39">
        <v>38</v>
      </c>
      <c r="B39">
        <v>46134</v>
      </c>
      <c r="C39" t="str">
        <v>容百科技</v>
      </c>
      <c r="D39">
        <v>688005</v>
      </c>
      <c r="E39">
        <v>34.3</v>
      </c>
      <c r="F39">
        <v>20260522</v>
      </c>
      <c r="G39">
        <v>34.91</v>
      </c>
      <c r="H39">
        <f>(G39-E39)/E39</f>
        <v>0.01778425655976675</v>
      </c>
      <c r="I39">
        <v>46148</v>
      </c>
      <c r="J39">
        <v>0.0959</v>
      </c>
      <c r="K39">
        <f>NETWORKDAYS(B39,I39,假期!A40:A72)</f>
        <v>11</v>
      </c>
      <c r="L39">
        <v>20260522</v>
      </c>
      <c r="M39" t="str">
        <v>锂电正极材料</v>
      </c>
      <c r="N39" t="str">
        <v>电力设备</v>
      </c>
    </row>
    <row r="40">
      <c r="A40">
        <v>39</v>
      </c>
      <c r="B40">
        <v>46134</v>
      </c>
      <c r="C40" t="str">
        <v>鼎胜新材</v>
      </c>
      <c r="D40">
        <v>603876</v>
      </c>
      <c r="E40">
        <v>26.6</v>
      </c>
      <c r="F40">
        <v>20260522</v>
      </c>
      <c r="G40">
        <v>27.5</v>
      </c>
      <c r="H40">
        <f>(G40-E40)/E40</f>
        <v>0.033834586466165356</v>
      </c>
      <c r="I40">
        <v>46136</v>
      </c>
      <c r="J40">
        <v>0.1</v>
      </c>
      <c r="K40">
        <f>NETWORKDAYS(B40,I40,假期!A41:A73)</f>
        <v>3</v>
      </c>
      <c r="L40">
        <v>20260522</v>
      </c>
      <c r="M40" t="str">
        <v>铝加工/电池箔</v>
      </c>
      <c r="N40" t="str">
        <v>有色金属</v>
      </c>
    </row>
    <row r="41">
      <c r="A41">
        <v>40</v>
      </c>
      <c r="B41">
        <v>46136</v>
      </c>
      <c r="C41" t="str">
        <v>江河集团</v>
      </c>
      <c r="D41">
        <v>601886</v>
      </c>
      <c r="E41">
        <v>10.16</v>
      </c>
      <c r="F41">
        <v>20260522</v>
      </c>
      <c r="G41">
        <v>8.89</v>
      </c>
      <c r="H41">
        <f>(G41-E41)/E41</f>
        <v>-0.12499999999999996</v>
      </c>
      <c r="I41">
        <v>46149</v>
      </c>
      <c r="J41">
        <v>0.0227</v>
      </c>
      <c r="K41">
        <f>NETWORKDAYS(B41,I41,假期!A42:A74)</f>
        <v>10</v>
      </c>
      <c r="L41">
        <v>20260522</v>
      </c>
      <c r="M41" t="str">
        <v>建筑幕墙装饰</v>
      </c>
      <c r="N41" t="str">
        <v>建筑装饰</v>
      </c>
    </row>
    <row r="42">
      <c r="A42">
        <v>41</v>
      </c>
      <c r="B42">
        <v>46136</v>
      </c>
      <c r="C42" t="str">
        <v>森特股份</v>
      </c>
      <c r="D42">
        <v>603098</v>
      </c>
      <c r="E42">
        <v>15.25</v>
      </c>
      <c r="F42">
        <v>20260522</v>
      </c>
      <c r="G42">
        <v>12.65</v>
      </c>
      <c r="H42">
        <f>(G42-E42)/E42</f>
        <v>-0.17049180327868851</v>
      </c>
      <c r="I42">
        <v>46141</v>
      </c>
      <c r="J42">
        <v>0.018</v>
      </c>
      <c r="K42">
        <f>NETWORKDAYS(B42,I42,假期!A43:A75)</f>
        <v>4</v>
      </c>
      <c r="L42">
        <v>20260522</v>
      </c>
      <c r="M42" t="str">
        <v>金属围护/建筑工程</v>
      </c>
      <c r="N42" t="str">
        <v>建筑装饰</v>
      </c>
    </row>
    <row r="43">
      <c r="A43">
        <v>42</v>
      </c>
      <c r="B43">
        <v>46136</v>
      </c>
      <c r="C43" t="str">
        <v>美湖股份</v>
      </c>
      <c r="D43">
        <v>603319</v>
      </c>
      <c r="E43">
        <v>38.01</v>
      </c>
      <c r="F43">
        <v>20260522</v>
      </c>
      <c r="G43">
        <v>31.87</v>
      </c>
      <c r="H43">
        <f>(G43-E43)/E43</f>
        <v>-0.16153643777953164</v>
      </c>
      <c r="I43">
        <v>46163</v>
      </c>
      <c r="J43">
        <v>0.0881</v>
      </c>
      <c r="K43">
        <f>NETWORKDAYS(B43,I43,假期!A44:A76)</f>
        <v>20</v>
      </c>
      <c r="L43">
        <v>20260522</v>
      </c>
      <c r="M43" t="str">
        <v>汽车零部件</v>
      </c>
      <c r="N43" t="str">
        <v>汽车</v>
      </c>
    </row>
    <row r="44">
      <c r="A44">
        <v>43</v>
      </c>
      <c r="B44">
        <v>46136</v>
      </c>
      <c r="C44" t="str">
        <v>浙江荣泰</v>
      </c>
      <c r="D44">
        <v>603119</v>
      </c>
      <c r="E44">
        <v>77.81</v>
      </c>
      <c r="F44">
        <v>20260522</v>
      </c>
      <c r="G44">
        <v>79.9</v>
      </c>
      <c r="H44">
        <f>(G44-E44)/E44</f>
        <v>0.0268603007325537</v>
      </c>
      <c r="I44">
        <v>46142</v>
      </c>
      <c r="J44">
        <v>0.1</v>
      </c>
      <c r="K44">
        <f>NETWORKDAYS(B44,I44,假期!A45:A77)</f>
        <v>5</v>
      </c>
      <c r="L44">
        <v>20260522</v>
      </c>
      <c r="M44" t="str">
        <v>汽车绝缘材料</v>
      </c>
      <c r="N44" t="str">
        <v>汽车</v>
      </c>
    </row>
    <row r="45">
      <c r="A45">
        <v>44</v>
      </c>
      <c r="B45">
        <v>46140</v>
      </c>
      <c r="C45" t="str">
        <v>神火股份</v>
      </c>
      <c r="D45" t="str">
        <v>000933</v>
      </c>
      <c r="E45">
        <v>32.14</v>
      </c>
      <c r="F45">
        <v>20260528</v>
      </c>
      <c r="G45">
        <v>29.73</v>
      </c>
      <c r="H45">
        <f>(G45-E45)/E45</f>
        <v>-0.07498444306160548</v>
      </c>
      <c r="I45">
        <v>46168</v>
      </c>
      <c r="J45">
        <v>0.0624</v>
      </c>
      <c r="K45">
        <f>NETWORKDAYS(B45,I45,假期!A46:A78)</f>
        <v>21</v>
      </c>
      <c r="L45">
        <v>20260528</v>
      </c>
      <c r="M45" t="str">
        <v>铝/煤炭</v>
      </c>
      <c r="N45" t="str">
        <v>有色金属</v>
      </c>
    </row>
    <row r="46">
      <c r="A46">
        <v>45</v>
      </c>
      <c r="B46">
        <v>46140</v>
      </c>
      <c r="C46" t="str">
        <v>中国铝业</v>
      </c>
      <c r="D46">
        <v>601600</v>
      </c>
      <c r="E46">
        <v>11.85</v>
      </c>
      <c r="F46">
        <v>20260528</v>
      </c>
      <c r="G46">
        <v>11.3</v>
      </c>
      <c r="H46">
        <f>(G46-E46)/E46</f>
        <v>-0.04641350210970455</v>
      </c>
      <c r="I46">
        <v>46168</v>
      </c>
      <c r="J46">
        <v>0.101</v>
      </c>
      <c r="K46">
        <f>NETWORKDAYS(B46,I46,假期!A47:A79)</f>
        <v>21</v>
      </c>
      <c r="L46">
        <v>20260528</v>
      </c>
      <c r="M46" t="str">
        <v>铝冶炼</v>
      </c>
      <c r="N46" t="str">
        <v>有色金属</v>
      </c>
    </row>
    <row r="47">
      <c r="A47">
        <v>46</v>
      </c>
      <c r="B47">
        <v>46140</v>
      </c>
      <c r="C47" t="str">
        <v>华明装备</v>
      </c>
      <c r="D47" t="str">
        <v>002270</v>
      </c>
      <c r="E47">
        <v>26.55</v>
      </c>
      <c r="F47">
        <v>20260528</v>
      </c>
      <c r="G47">
        <v>23.05</v>
      </c>
      <c r="H47">
        <f>(G47-E47)/E47</f>
        <v>-0.1318267419962335</v>
      </c>
      <c r="I47">
        <v>46167</v>
      </c>
      <c r="J47">
        <v>0.0423</v>
      </c>
      <c r="K47">
        <f>NETWORKDAYS(B47,I47,假期!A48:A80)</f>
        <v>20</v>
      </c>
      <c r="L47">
        <v>20260528</v>
      </c>
      <c r="M47" t="str">
        <v>电力设备/分接开关</v>
      </c>
      <c r="N47" t="str">
        <v>电力设备</v>
      </c>
    </row>
    <row r="48">
      <c r="A48">
        <v>47</v>
      </c>
      <c r="B48">
        <v>46140</v>
      </c>
      <c r="C48" t="str">
        <v>伊戈尔</v>
      </c>
      <c r="D48" t="str">
        <v>002922</v>
      </c>
      <c r="E48">
        <v>40.7</v>
      </c>
      <c r="F48">
        <v>20260528</v>
      </c>
      <c r="G48">
        <v>47.27</v>
      </c>
      <c r="H48">
        <f>(G48-E48)/E48</f>
        <v>0.1614250614250614</v>
      </c>
      <c r="I48">
        <v>46155</v>
      </c>
      <c r="J48">
        <v>0.1</v>
      </c>
      <c r="K48">
        <f>NETWORKDAYS(B48,I48,假期!A49:A81)</f>
        <v>12</v>
      </c>
      <c r="L48">
        <v>20260528</v>
      </c>
      <c r="M48" t="str">
        <v>电源及变压器</v>
      </c>
      <c r="N48" t="str">
        <v>电力设备</v>
      </c>
    </row>
    <row r="49">
      <c r="A49">
        <v>48</v>
      </c>
      <c r="B49">
        <v>46148</v>
      </c>
      <c r="C49" t="str">
        <v>新风光</v>
      </c>
      <c r="D49">
        <v>688663</v>
      </c>
      <c r="E49">
        <v>68.86</v>
      </c>
      <c r="F49">
        <v>20260605</v>
      </c>
      <c r="G49">
        <v>88.37</v>
      </c>
      <c r="H49">
        <f>(G49-E49)/E49</f>
        <v>0.2833284925936684</v>
      </c>
      <c r="I49">
        <v>46160</v>
      </c>
      <c r="J49">
        <v>0.1596</v>
      </c>
      <c r="K49">
        <f>NETWORKDAYS(B49,I49,假期!A50:A82)</f>
        <v>9</v>
      </c>
      <c r="L49">
        <v>20260605</v>
      </c>
      <c r="M49" t="str">
        <v>电力电子设备</v>
      </c>
      <c r="N49" t="str">
        <v>电力设备</v>
      </c>
    </row>
    <row r="50">
      <c r="A50">
        <v>49</v>
      </c>
      <c r="B50">
        <v>46148</v>
      </c>
      <c r="C50" t="str">
        <v>特锐德</v>
      </c>
      <c r="D50">
        <v>300001</v>
      </c>
      <c r="E50">
        <v>29.68</v>
      </c>
      <c r="F50">
        <v>20260605</v>
      </c>
      <c r="G50">
        <v>39.86</v>
      </c>
      <c r="H50">
        <f>(G50-E50)/E50</f>
        <v>0.34299191374663074</v>
      </c>
      <c r="I50">
        <v>46177</v>
      </c>
      <c r="J50">
        <v>0.1199</v>
      </c>
      <c r="K50">
        <f>NETWORKDAYS(B50,I50,假期!A51:A83)</f>
        <v>22</v>
      </c>
      <c r="L50">
        <v>20260605</v>
      </c>
      <c r="M50" t="str">
        <v>充电桩/箱式电力设备</v>
      </c>
      <c r="N50" t="str">
        <v>电力设备</v>
      </c>
    </row>
    <row r="52">
      <c r="A52">
        <v>50</v>
      </c>
      <c r="B52">
        <v>46160</v>
      </c>
      <c r="C52" t="str">
        <v>首都在线</v>
      </c>
      <c r="D52">
        <v>300846</v>
      </c>
      <c r="E52">
        <v>31.41</v>
      </c>
      <c r="F52">
        <v>20260611</v>
      </c>
      <c r="G52">
        <v>20.92</v>
      </c>
      <c r="H52">
        <f>(G52-E52)/E52</f>
        <v>-0.3339700732250875</v>
      </c>
      <c r="I52">
        <v>46161</v>
      </c>
      <c r="J52">
        <v>0.0432</v>
      </c>
      <c r="K52">
        <f>NETWORKDAYS(B52,I52,假期!A52:A84)</f>
        <v>2</v>
      </c>
      <c r="L52">
        <v>20260618</v>
      </c>
      <c r="M52" t="str">
        <v>云计算服务</v>
      </c>
      <c r="N52" t="str">
        <v>计算机</v>
      </c>
    </row>
    <row r="53">
      <c r="A53">
        <v>51</v>
      </c>
      <c r="B53">
        <v>46160</v>
      </c>
      <c r="C53" t="str">
        <v>科华数据</v>
      </c>
      <c r="D53" t="str">
        <v>002335</v>
      </c>
      <c r="E53">
        <v>67</v>
      </c>
      <c r="F53">
        <v>20260611</v>
      </c>
      <c r="G53">
        <v>35.37</v>
      </c>
      <c r="H53">
        <f>(G53-E53)/E53</f>
        <v>-0.472089552238806</v>
      </c>
      <c r="I53">
        <v>46175</v>
      </c>
      <c r="J53">
        <v>0.071</v>
      </c>
      <c r="K53">
        <f>NETWORKDAYS(B53,I53,假期!A53:A85)</f>
        <v>12</v>
      </c>
      <c r="L53">
        <v>20260618</v>
      </c>
      <c r="M53" t="str">
        <v>电源设备/数据中心</v>
      </c>
      <c r="N53" t="str">
        <v>电力设备</v>
      </c>
    </row>
    <row r="54">
      <c r="A54">
        <v>52</v>
      </c>
      <c r="B54">
        <v>46163</v>
      </c>
      <c r="C54" t="str">
        <v>海博思创</v>
      </c>
      <c r="D54">
        <v>688411</v>
      </c>
      <c r="E54">
        <v>268</v>
      </c>
      <c r="F54">
        <v>20260611</v>
      </c>
      <c r="G54">
        <v>241.3</v>
      </c>
      <c r="H54">
        <f>(G54-E54)/E54</f>
        <v>-0.09962686567164175</v>
      </c>
      <c r="I54">
        <v>46167</v>
      </c>
      <c r="J54">
        <v>0.0823</v>
      </c>
      <c r="K54">
        <f>NETWORKDAYS(B54,I54,假期!A54:A86)</f>
        <v>3</v>
      </c>
      <c r="L54">
        <v>20260619</v>
      </c>
      <c r="M54" t="str">
        <v>储能系统</v>
      </c>
      <c r="N54" t="str">
        <v>电力设备</v>
      </c>
    </row>
    <row r="55">
      <c r="A55">
        <v>53</v>
      </c>
      <c r="B55">
        <v>46163</v>
      </c>
      <c r="C55" t="str">
        <v>湖南裕能</v>
      </c>
      <c r="D55">
        <v>301358</v>
      </c>
      <c r="E55">
        <v>94.8</v>
      </c>
      <c r="F55">
        <v>20260611</v>
      </c>
      <c r="G55">
        <v>68.87</v>
      </c>
      <c r="H55">
        <f>(G55-E55)/E55</f>
        <v>-0.2735232067510548</v>
      </c>
      <c r="I55">
        <v>46171</v>
      </c>
      <c r="J55">
        <v>0.0156</v>
      </c>
      <c r="K55">
        <f>NETWORKDAYS(B55,I55,假期!A55:A87)</f>
        <v>7</v>
      </c>
      <c r="L55">
        <v>20260619</v>
      </c>
      <c r="M55" t="str">
        <v>磷酸铁锂正极材料</v>
      </c>
      <c r="N55" t="str">
        <v>电力设备</v>
      </c>
    </row>
  </sheetData>
  <mergeCells count="1">
    <mergeCell ref="A51:L51"/>
  </mergeCells>
  <pageMargins left="0.7" right="0.7" top="0.75" bottom="0.75" header="0.3" footer="0.3"/>
  <ignoredErrors>
    <ignoredError numberStoredAsText="1" sqref="A1:O61"/>
  </ignoredErrors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191"/>
  <sheetViews>
    <sheetView workbookViewId="0" rightToLeft="0"/>
  </sheetViews>
  <sheetData>
    <row r="1">
      <c r="A1" t="str">
        <v>个股收益可视化分析包 · 进阶图表（热力图 / 树图 / 瀑布图 / 雷达图 / 子弹图）</v>
      </c>
    </row>
    <row r="2">
      <c r="A2" t="str">
        <v>一、行业 × 批次收益热力图</v>
      </c>
    </row>
    <row r="36">
      <c r="A36" t="str">
        <v>📌 热力图能一眼看出哪个行业在哪个时间窗口表现最强。2月27日批次横向全红；3月10日批次多数行业偏绿，是市场环境拖累而非选股问题。</v>
      </c>
    </row>
    <row r="38">
      <c r="A38" t="str">
        <v>二、53支个股收益树图</v>
      </c>
    </row>
    <row r="75">
      <c r="A75" t="str">
        <v>📌 树图按行业分组、颜色深浅表示收益高低，一张图装下全部53支。颜色越深红=收益越高，越深绿=亏损越大。适合汇报封面。</v>
      </c>
    </row>
    <row r="77">
      <c r="A77" t="str">
        <v>三、推荐批次瀑布图</v>
      </c>
    </row>
    <row r="106">
      <c r="A106" t="str">
        <v>📌 瀑布图展示每批次收益的正负贡献与累积走势。4月8日批次是最大单次正贡献（+52%均值）；5月18日是最大负贡献（-40%）。</v>
      </c>
    </row>
    <row r="108">
      <c r="A108" t="str">
        <v>四、行业选股质量雷达图</v>
      </c>
    </row>
    <row r="155">
      <c r="A155" t="str">
        <v>📌 雷达图对比各行业在"平均收益、胜率、效率、样本量"四个维度的相对水平。机械设备综合最优；计算机胜率偏低但有爆发个股。</v>
      </c>
    </row>
    <row r="157">
      <c r="A157" t="str">
        <v>五、子弹图：当前收益 vs 最高涨幅</v>
      </c>
    </row>
    <row r="191">
      <c r="A191" t="str">
        <v>📌 灰色条=追踪期最高涨幅，彩色条=当前收益，差距越大说明阶段性高点兑现不充分。仅供内部复盘，不代表操作建议。</v>
      </c>
    </row>
  </sheetData>
  <mergeCells count="11">
    <mergeCell ref="A157:O157"/>
    <mergeCell ref="A38:O38"/>
    <mergeCell ref="A2:O2"/>
    <mergeCell ref="A191:O191"/>
    <mergeCell ref="A36:O36"/>
    <mergeCell ref="A108:O108"/>
    <mergeCell ref="A1:O1"/>
    <mergeCell ref="A75:O75"/>
    <mergeCell ref="A155:O155"/>
    <mergeCell ref="A106:O106"/>
    <mergeCell ref="A77:O77"/>
  </mergeCells>
  <pageMargins left="0.75" right="0.75" top="1" bottom="1" header="0.5" footer="0.5"/>
  <ignoredErrors>
    <ignoredError numberStoredAsText="1" sqref="A1:O191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O54"/>
  <sheetViews>
    <sheetView workbookViewId="0" rightToLeft="0"/>
  </sheetViews>
  <sheetData>
    <row r="1">
      <c r="A1" t="str">
        <v>序号</v>
      </c>
      <c r="B1" t="str">
        <v>个股推荐日期</v>
      </c>
      <c r="C1" t="str">
        <v>个股名称</v>
      </c>
      <c r="D1" t="str">
        <v>代码</v>
      </c>
      <c r="E1" t="str">
        <v>推荐日开盘价</v>
      </c>
      <c r="F1" t="str">
        <v>统计截止日期</v>
      </c>
      <c r="G1" t="str">
        <v>截止日收盘价</v>
      </c>
      <c r="H1" t="str">
        <v>区间涨跌幅</v>
      </c>
      <c r="I1" t="str">
        <v>最高涨幅发生日期</v>
      </c>
      <c r="J1" t="str">
        <v>最高涨幅（%）</v>
      </c>
      <c r="K1" t="str">
        <v>距推荐日交易天数</v>
      </c>
      <c r="L1" t="str">
        <v>截止跟踪日</v>
      </c>
      <c r="M1" t="str">
        <v>原始行业</v>
      </c>
      <c r="N1" t="str">
        <v>行业大类</v>
      </c>
      <c r="O1" t="str">
        <v>空字段15</v>
      </c>
    </row>
    <row r="2">
      <c r="A2">
        <v>1</v>
      </c>
      <c r="B2">
        <v>46078</v>
      </c>
      <c r="C2" t="str">
        <v>国瓷材料</v>
      </c>
      <c r="D2">
        <v>300285</v>
      </c>
      <c r="E2">
        <v>34.85</v>
      </c>
      <c r="F2">
        <v>20260507</v>
      </c>
      <c r="G2">
        <v>38.68</v>
      </c>
      <c r="H2">
        <v>0.1098995695839311</v>
      </c>
      <c r="I2">
        <v>46091</v>
      </c>
      <c r="J2">
        <v>0.1107</v>
      </c>
      <c r="K2">
        <v>10</v>
      </c>
      <c r="L2">
        <v>20260507</v>
      </c>
      <c r="M2" t="str">
        <v>电子陶瓷/电子材料</v>
      </c>
      <c r="N2" t="str">
        <v>新材料</v>
      </c>
    </row>
    <row r="3">
      <c r="A3">
        <v>2</v>
      </c>
      <c r="B3">
        <v>46078</v>
      </c>
      <c r="C3" t="str">
        <v>风华高科</v>
      </c>
      <c r="D3" t="str">
        <v>000636</v>
      </c>
      <c r="E3">
        <v>25.04</v>
      </c>
      <c r="F3">
        <v>20260507</v>
      </c>
      <c r="G3">
        <v>25.15</v>
      </c>
      <c r="H3">
        <v>0.004392971246006367</v>
      </c>
      <c r="I3">
        <v>46078</v>
      </c>
      <c r="J3">
        <v>0.1</v>
      </c>
      <c r="K3">
        <v>1</v>
      </c>
      <c r="L3">
        <v>20260507</v>
      </c>
      <c r="M3" t="str">
        <v>被动元件</v>
      </c>
      <c r="N3" t="str">
        <v>电子</v>
      </c>
    </row>
    <row r="4">
      <c r="A4">
        <v>3</v>
      </c>
      <c r="B4">
        <v>46078</v>
      </c>
      <c r="C4" t="str">
        <v>达利凯普</v>
      </c>
      <c r="D4">
        <v>301566</v>
      </c>
      <c r="E4">
        <v>25.4</v>
      </c>
      <c r="F4">
        <v>20260507</v>
      </c>
      <c r="G4">
        <v>25.58</v>
      </c>
      <c r="H4">
        <v>0.007086614173228336</v>
      </c>
      <c r="I4">
        <v>46120</v>
      </c>
      <c r="J4">
        <v>0.0735</v>
      </c>
      <c r="K4">
        <v>30</v>
      </c>
      <c r="L4">
        <v>20260507</v>
      </c>
      <c r="M4" t="str">
        <v>被动元件/射频微波MLCC</v>
      </c>
      <c r="N4" t="str">
        <v>电子</v>
      </c>
    </row>
    <row r="5">
      <c r="A5">
        <v>4</v>
      </c>
      <c r="B5">
        <v>46080</v>
      </c>
      <c r="C5" t="str">
        <v>华锐精密</v>
      </c>
      <c r="D5">
        <v>688059</v>
      </c>
      <c r="E5">
        <v>122.88</v>
      </c>
      <c r="F5">
        <v>20260507</v>
      </c>
      <c r="G5">
        <v>146.8</v>
      </c>
      <c r="H5">
        <v>0.1946614583333335</v>
      </c>
      <c r="I5">
        <v>46141</v>
      </c>
      <c r="J5">
        <v>0.1724</v>
      </c>
      <c r="K5">
        <v>43</v>
      </c>
      <c r="L5">
        <v>20260507</v>
      </c>
      <c r="M5" t="str">
        <v>数控刀具/硬质合金工具</v>
      </c>
      <c r="N5" t="str">
        <v>机械设备</v>
      </c>
    </row>
    <row r="6">
      <c r="A6">
        <v>5</v>
      </c>
      <c r="B6">
        <v>46080</v>
      </c>
      <c r="C6" t="str">
        <v>新锐股份</v>
      </c>
      <c r="D6">
        <v>688257</v>
      </c>
      <c r="E6">
        <v>60.1</v>
      </c>
      <c r="F6">
        <v>20260507</v>
      </c>
      <c r="G6">
        <v>76.15</v>
      </c>
      <c r="H6">
        <v>0.2670549084858569</v>
      </c>
      <c r="I6">
        <v>46083</v>
      </c>
      <c r="J6">
        <v>0.1497</v>
      </c>
      <c r="K6">
        <v>2</v>
      </c>
      <c r="L6">
        <v>20260507</v>
      </c>
      <c r="M6" t="str">
        <v>硬质合金工具</v>
      </c>
      <c r="N6" t="str">
        <v>机械设备</v>
      </c>
    </row>
    <row r="7">
      <c r="A7">
        <v>6</v>
      </c>
      <c r="B7">
        <v>46080</v>
      </c>
      <c r="C7" t="str">
        <v>云南锗业</v>
      </c>
      <c r="D7" t="str">
        <v>002428</v>
      </c>
      <c r="E7">
        <v>44.66</v>
      </c>
      <c r="F7">
        <v>20260507</v>
      </c>
      <c r="G7">
        <v>80.2</v>
      </c>
      <c r="H7">
        <v>0.7957904164800719</v>
      </c>
      <c r="I7">
        <v>46129</v>
      </c>
      <c r="J7">
        <v>0.1001</v>
      </c>
      <c r="K7">
        <v>35</v>
      </c>
      <c r="L7">
        <v>20260507</v>
      </c>
      <c r="M7" t="str">
        <v>小金属/锗材料</v>
      </c>
      <c r="N7" t="str">
        <v>有色金属</v>
      </c>
    </row>
    <row r="8">
      <c r="A8">
        <v>7</v>
      </c>
      <c r="B8">
        <v>46086</v>
      </c>
      <c r="C8" t="str">
        <v>华鲁恒升</v>
      </c>
      <c r="D8">
        <v>600426</v>
      </c>
      <c r="E8">
        <v>39.3</v>
      </c>
      <c r="F8">
        <v>20260507</v>
      </c>
      <c r="G8">
        <v>36.12</v>
      </c>
      <c r="H8">
        <v>-0.08091603053435115</v>
      </c>
      <c r="I8">
        <v>46119</v>
      </c>
      <c r="J8">
        <v>0.0943</v>
      </c>
      <c r="K8">
        <v>23</v>
      </c>
      <c r="L8">
        <v>20260507</v>
      </c>
      <c r="M8" t="str">
        <v>煤化工/化学原料</v>
      </c>
      <c r="N8" t="str">
        <v>基础化工</v>
      </c>
    </row>
    <row r="9">
      <c r="A9">
        <v>8</v>
      </c>
      <c r="B9">
        <v>46086</v>
      </c>
      <c r="C9" t="str">
        <v>湖北宜化</v>
      </c>
      <c r="D9" t="str">
        <v>000422</v>
      </c>
      <c r="E9">
        <v>18.27</v>
      </c>
      <c r="F9">
        <v>20260507</v>
      </c>
      <c r="G9">
        <v>16.09</v>
      </c>
      <c r="H9">
        <v>-0.1193212917350848</v>
      </c>
      <c r="I9">
        <v>46104</v>
      </c>
      <c r="J9">
        <v>0.0784</v>
      </c>
      <c r="K9">
        <v>13</v>
      </c>
      <c r="L9">
        <v>20260507</v>
      </c>
      <c r="M9" t="str">
        <v>磷化工/化肥</v>
      </c>
      <c r="N9" t="str">
        <v>基础化工</v>
      </c>
    </row>
    <row r="10">
      <c r="A10">
        <v>9</v>
      </c>
      <c r="B10">
        <v>46087</v>
      </c>
      <c r="C10" t="str">
        <v>华灿光电</v>
      </c>
      <c r="D10">
        <v>300323</v>
      </c>
      <c r="E10">
        <v>11.51</v>
      </c>
      <c r="F10">
        <v>20260507</v>
      </c>
      <c r="G10">
        <v>12.75</v>
      </c>
      <c r="H10">
        <v>0.107732406602954</v>
      </c>
      <c r="I10">
        <v>46087</v>
      </c>
      <c r="J10">
        <v>0.1649</v>
      </c>
      <c r="K10">
        <v>1</v>
      </c>
      <c r="L10">
        <v>20260507</v>
      </c>
      <c r="M10" t="str">
        <v>LED芯片</v>
      </c>
      <c r="N10" t="str">
        <v>电子</v>
      </c>
    </row>
    <row r="11">
      <c r="A11">
        <v>10</v>
      </c>
      <c r="B11">
        <v>46087</v>
      </c>
      <c r="C11" t="str">
        <v>新相微</v>
      </c>
      <c r="D11">
        <v>688593</v>
      </c>
      <c r="E11">
        <v>35.1</v>
      </c>
      <c r="F11">
        <v>20260507</v>
      </c>
      <c r="G11">
        <v>39.94</v>
      </c>
      <c r="H11">
        <v>0.1378917378917378</v>
      </c>
      <c r="I11">
        <v>46149</v>
      </c>
      <c r="J11">
        <v>0.1631</v>
      </c>
      <c r="K11">
        <v>41</v>
      </c>
      <c r="L11">
        <v>20260507</v>
      </c>
      <c r="M11" t="str">
        <v>显示驱动芯片</v>
      </c>
      <c r="N11" t="str">
        <v>电子</v>
      </c>
    </row>
    <row r="12">
      <c r="A12">
        <v>11</v>
      </c>
      <c r="B12">
        <v>46087</v>
      </c>
      <c r="C12" t="str">
        <v>利亚德</v>
      </c>
      <c r="D12">
        <v>300296</v>
      </c>
      <c r="E12">
        <v>8.62</v>
      </c>
      <c r="F12">
        <v>20260507</v>
      </c>
      <c r="G12">
        <v>6.58</v>
      </c>
      <c r="H12">
        <v>-0.2366589327146171</v>
      </c>
      <c r="I12">
        <v>46120</v>
      </c>
      <c r="J12">
        <v>0.0812</v>
      </c>
      <c r="K12">
        <v>23</v>
      </c>
      <c r="L12">
        <v>20260507</v>
      </c>
      <c r="M12" t="str">
        <v>LED显示</v>
      </c>
      <c r="N12" t="str">
        <v>电子</v>
      </c>
    </row>
    <row r="13">
      <c r="A13">
        <v>12</v>
      </c>
      <c r="B13">
        <v>46087</v>
      </c>
      <c r="C13" t="str">
        <v>兆驰股份</v>
      </c>
      <c r="D13" t="str">
        <v>002429</v>
      </c>
      <c r="E13">
        <v>11.24</v>
      </c>
      <c r="F13">
        <v>20260507</v>
      </c>
      <c r="G13">
        <v>12.08</v>
      </c>
      <c r="H13">
        <v>0.07473309608540923</v>
      </c>
      <c r="I13">
        <v>46094</v>
      </c>
      <c r="J13">
        <v>0.1005</v>
      </c>
      <c r="K13">
        <v>6</v>
      </c>
      <c r="L13">
        <v>20260507</v>
      </c>
      <c r="M13" t="str">
        <v>显示终端/LED产业链</v>
      </c>
      <c r="N13" t="str">
        <v>家用电器/电子</v>
      </c>
    </row>
    <row r="14">
      <c r="A14">
        <v>13</v>
      </c>
      <c r="B14">
        <v>46087</v>
      </c>
      <c r="C14" t="str">
        <v>安光电</v>
      </c>
      <c r="D14">
        <v>600703</v>
      </c>
      <c r="E14">
        <v>17.08</v>
      </c>
      <c r="F14">
        <v>20260507</v>
      </c>
      <c r="G14">
        <v>15.14</v>
      </c>
      <c r="H14">
        <v>-0.113583138173302</v>
      </c>
      <c r="I14">
        <v>46134</v>
      </c>
      <c r="J14">
        <v>0.1001</v>
      </c>
      <c r="K14">
        <v>33</v>
      </c>
      <c r="L14">
        <v>20260507</v>
      </c>
      <c r="M14" t="str">
        <v>LED芯片/化合物半导体</v>
      </c>
      <c r="N14" t="str">
        <v>电子</v>
      </c>
    </row>
    <row r="15">
      <c r="A15">
        <v>14</v>
      </c>
      <c r="B15">
        <v>46087</v>
      </c>
      <c r="C15" t="str">
        <v>乾照光电</v>
      </c>
      <c r="D15">
        <v>300102</v>
      </c>
      <c r="E15">
        <v>35.2</v>
      </c>
      <c r="F15">
        <v>20260507</v>
      </c>
      <c r="G15">
        <v>31.27</v>
      </c>
      <c r="H15">
        <v>-0.1116477272727274</v>
      </c>
      <c r="I15">
        <v>46132</v>
      </c>
      <c r="J15">
        <v>0.0793</v>
      </c>
      <c r="K15">
        <v>31</v>
      </c>
      <c r="L15">
        <v>20260507</v>
      </c>
      <c r="M15" t="str">
        <v>LED芯片</v>
      </c>
      <c r="N15" t="str">
        <v>电子</v>
      </c>
    </row>
    <row r="16">
      <c r="A16">
        <v>15</v>
      </c>
      <c r="B16">
        <v>46091</v>
      </c>
      <c r="C16" t="str">
        <v>万兴科技</v>
      </c>
      <c r="D16">
        <v>300624</v>
      </c>
      <c r="E16">
        <v>80.29</v>
      </c>
      <c r="F16">
        <v>20260507</v>
      </c>
      <c r="G16">
        <v>71.29</v>
      </c>
      <c r="H16">
        <v>-0.1120936604807573</v>
      </c>
      <c r="I16">
        <v>46120</v>
      </c>
      <c r="J16">
        <v>0.0985</v>
      </c>
      <c r="K16">
        <v>21</v>
      </c>
      <c r="L16">
        <v>20260507</v>
      </c>
      <c r="M16" t="str">
        <v>数字创意软件</v>
      </c>
      <c r="N16" t="str">
        <v>计算机</v>
      </c>
    </row>
    <row r="17">
      <c r="A17">
        <v>16</v>
      </c>
      <c r="B17">
        <v>46091</v>
      </c>
      <c r="C17" t="str">
        <v>优刻得</v>
      </c>
      <c r="D17">
        <v>688158</v>
      </c>
      <c r="E17">
        <v>51.89</v>
      </c>
      <c r="F17">
        <v>20260507</v>
      </c>
      <c r="G17">
        <v>52.76</v>
      </c>
      <c r="H17">
        <v>0.01676623626903059</v>
      </c>
      <c r="I17">
        <v>46120</v>
      </c>
      <c r="J17">
        <v>0.1395</v>
      </c>
      <c r="K17">
        <v>22</v>
      </c>
      <c r="L17">
        <v>20260507</v>
      </c>
      <c r="M17" t="str">
        <v>云计算服务</v>
      </c>
      <c r="N17" t="str">
        <v>计算机</v>
      </c>
    </row>
    <row r="18">
      <c r="A18">
        <v>17</v>
      </c>
      <c r="B18">
        <v>46091</v>
      </c>
      <c r="C18" t="str">
        <v>顺网科技</v>
      </c>
      <c r="D18">
        <v>300113</v>
      </c>
      <c r="E18">
        <v>30.88</v>
      </c>
      <c r="F18">
        <v>20260507</v>
      </c>
      <c r="G18">
        <v>28.92</v>
      </c>
      <c r="H18">
        <v>-0.0634715025906735</v>
      </c>
      <c r="I18">
        <v>46120</v>
      </c>
      <c r="J18">
        <v>0.1323</v>
      </c>
      <c r="K18">
        <v>22</v>
      </c>
      <c r="L18">
        <v>20260507</v>
      </c>
      <c r="M18" t="str">
        <v>互联网服务/游戏服务</v>
      </c>
      <c r="N18" t="str">
        <v>传媒</v>
      </c>
    </row>
    <row r="19">
      <c r="A19">
        <v>18</v>
      </c>
      <c r="B19">
        <v>46091</v>
      </c>
      <c r="C19" t="str">
        <v>中科创达</v>
      </c>
      <c r="D19">
        <v>300496</v>
      </c>
      <c r="E19">
        <v>72</v>
      </c>
      <c r="F19">
        <v>20260507</v>
      </c>
      <c r="G19">
        <v>66.12</v>
      </c>
      <c r="H19">
        <v>-0.08166666666666661</v>
      </c>
      <c r="I19">
        <v>46120</v>
      </c>
      <c r="J19">
        <v>0.0804</v>
      </c>
      <c r="K19">
        <v>22</v>
      </c>
      <c r="L19">
        <v>20260507</v>
      </c>
      <c r="M19" t="str">
        <v>操作系统软件</v>
      </c>
      <c r="N19" t="str">
        <v>计算机</v>
      </c>
    </row>
    <row r="20">
      <c r="A20">
        <v>19</v>
      </c>
      <c r="B20">
        <v>46091</v>
      </c>
      <c r="C20" t="str">
        <v>拓维信息</v>
      </c>
      <c r="D20" t="str">
        <v>002261</v>
      </c>
      <c r="E20">
        <v>42.15</v>
      </c>
      <c r="F20">
        <v>20260507</v>
      </c>
      <c r="G20">
        <v>37.75</v>
      </c>
      <c r="H20">
        <v>-0.1043890865954923</v>
      </c>
      <c r="I20">
        <v>46120</v>
      </c>
      <c r="J20">
        <v>0.0707</v>
      </c>
      <c r="K20">
        <v>22</v>
      </c>
      <c r="L20">
        <v>20260507</v>
      </c>
      <c r="M20" t="str">
        <v>软件开发/IT服务</v>
      </c>
      <c r="N20" t="str">
        <v>计算机</v>
      </c>
    </row>
    <row r="21">
      <c r="A21">
        <v>20</v>
      </c>
      <c r="B21">
        <v>46091</v>
      </c>
      <c r="C21" t="str">
        <v>瑞芯微</v>
      </c>
      <c r="D21">
        <v>603893</v>
      </c>
      <c r="E21">
        <v>179.8</v>
      </c>
      <c r="F21">
        <v>20260507</v>
      </c>
      <c r="G21">
        <v>181.06</v>
      </c>
      <c r="H21">
        <v>0.007007786429365911</v>
      </c>
      <c r="I21">
        <v>46120</v>
      </c>
      <c r="J21">
        <v>0.0803</v>
      </c>
      <c r="K21">
        <v>22</v>
      </c>
      <c r="L21">
        <v>20260507</v>
      </c>
      <c r="M21" t="str">
        <v>数字芯片设计</v>
      </c>
      <c r="N21" t="str">
        <v>电子</v>
      </c>
    </row>
    <row r="22">
      <c r="A22">
        <v>21</v>
      </c>
      <c r="B22">
        <v>46091</v>
      </c>
      <c r="C22" t="str">
        <v>北信源</v>
      </c>
      <c r="D22">
        <v>300352</v>
      </c>
      <c r="E22">
        <v>7.64</v>
      </c>
      <c r="F22">
        <v>20260507</v>
      </c>
      <c r="G22">
        <v>4.6</v>
      </c>
      <c r="H22">
        <v>-0.3979057591623037</v>
      </c>
      <c r="I22">
        <v>46128</v>
      </c>
      <c r="J22">
        <v>0.1141</v>
      </c>
      <c r="K22">
        <v>28</v>
      </c>
      <c r="L22">
        <v>20260507</v>
      </c>
      <c r="M22" t="str">
        <v>网络安全软件</v>
      </c>
      <c r="N22" t="str">
        <v>计算机</v>
      </c>
    </row>
    <row r="23">
      <c r="A23">
        <v>22</v>
      </c>
      <c r="B23">
        <v>46093</v>
      </c>
      <c r="C23" t="str">
        <v>金杯电工</v>
      </c>
      <c r="D23" t="str">
        <v>002533</v>
      </c>
      <c r="E23">
        <v>15.85</v>
      </c>
      <c r="F23">
        <v>20260507</v>
      </c>
      <c r="G23">
        <v>13.96</v>
      </c>
      <c r="H23">
        <v>-0.1192429022082018</v>
      </c>
      <c r="I23">
        <v>46106</v>
      </c>
      <c r="J23">
        <v>0.0503</v>
      </c>
      <c r="K23">
        <v>10</v>
      </c>
      <c r="L23">
        <v>20260507</v>
      </c>
      <c r="M23" t="str">
        <v>电线电缆</v>
      </c>
      <c r="N23" t="str">
        <v>电力设备</v>
      </c>
    </row>
    <row r="24">
      <c r="A24">
        <v>23</v>
      </c>
      <c r="B24">
        <v>46093</v>
      </c>
      <c r="C24" t="str">
        <v>法拉电子</v>
      </c>
      <c r="D24">
        <v>600563</v>
      </c>
      <c r="E24">
        <v>119</v>
      </c>
      <c r="F24">
        <v>20260507</v>
      </c>
      <c r="G24">
        <v>124.13</v>
      </c>
      <c r="H24">
        <v>0.04310924369747896</v>
      </c>
      <c r="I24">
        <v>46099</v>
      </c>
      <c r="J24">
        <v>0.0823</v>
      </c>
      <c r="K24">
        <v>5</v>
      </c>
      <c r="L24">
        <v>20260507</v>
      </c>
      <c r="M24" t="str">
        <v>薄膜电容</v>
      </c>
      <c r="N24" t="str">
        <v>电子</v>
      </c>
    </row>
    <row r="25">
      <c r="A25">
        <v>24</v>
      </c>
      <c r="B25">
        <v>46093</v>
      </c>
      <c r="C25" t="str">
        <v>永福股份</v>
      </c>
      <c r="D25">
        <v>300712</v>
      </c>
      <c r="E25">
        <v>32.32</v>
      </c>
      <c r="F25">
        <v>20260507</v>
      </c>
      <c r="G25">
        <v>27.22</v>
      </c>
      <c r="H25">
        <v>-0.1577970297029703</v>
      </c>
      <c r="I25">
        <v>46105</v>
      </c>
      <c r="J25">
        <v>0.0534</v>
      </c>
      <c r="K25">
        <v>9</v>
      </c>
      <c r="L25">
        <v>20260507</v>
      </c>
      <c r="M25" t="str">
        <v>电力工程设计</v>
      </c>
      <c r="N25" t="str">
        <v>建筑工程/电力设备</v>
      </c>
    </row>
    <row r="26">
      <c r="A26">
        <v>25</v>
      </c>
      <c r="B26">
        <v>46111</v>
      </c>
      <c r="C26" t="str">
        <v>永太科技</v>
      </c>
      <c r="D26" t="str">
        <v>002326</v>
      </c>
      <c r="E26">
        <v>23.12</v>
      </c>
      <c r="F26">
        <v>20260507</v>
      </c>
      <c r="G26">
        <v>24.52</v>
      </c>
      <c r="H26">
        <v>0.06055363321799302</v>
      </c>
      <c r="I26">
        <v>46126</v>
      </c>
      <c r="J26">
        <v>0.0623</v>
      </c>
      <c r="K26">
        <v>12</v>
      </c>
      <c r="L26">
        <v>20260507</v>
      </c>
      <c r="M26" t="str">
        <v>氟化工/精细化工</v>
      </c>
      <c r="N26" t="str">
        <v>基础化工</v>
      </c>
    </row>
    <row r="27">
      <c r="A27">
        <v>26</v>
      </c>
      <c r="B27">
        <v>46111</v>
      </c>
      <c r="C27" t="str">
        <v>天赐材料</v>
      </c>
      <c r="D27" t="str">
        <v>002709</v>
      </c>
      <c r="E27">
        <v>47.23</v>
      </c>
      <c r="F27">
        <v>20260507</v>
      </c>
      <c r="G27">
        <v>62.8</v>
      </c>
      <c r="H27">
        <v>0.3296633495659539</v>
      </c>
      <c r="I27">
        <v>46141</v>
      </c>
      <c r="J27">
        <v>0.0939</v>
      </c>
      <c r="K27">
        <v>23</v>
      </c>
      <c r="L27">
        <v>20260507</v>
      </c>
      <c r="M27" t="str">
        <v>锂电池电解液材料</v>
      </c>
      <c r="N27" t="str">
        <v>电力设备</v>
      </c>
    </row>
    <row r="28">
      <c r="A28">
        <v>27</v>
      </c>
      <c r="B28">
        <v>46120</v>
      </c>
      <c r="C28" t="str">
        <v>海光信息</v>
      </c>
      <c r="D28">
        <v>688041</v>
      </c>
      <c r="E28">
        <v>226.1</v>
      </c>
      <c r="F28">
        <v>20260507</v>
      </c>
      <c r="G28">
        <v>341.6</v>
      </c>
      <c r="H28">
        <v>0.5108359133126936</v>
      </c>
      <c r="I28">
        <v>46148</v>
      </c>
      <c r="J28">
        <v>0.1626</v>
      </c>
      <c r="K28">
        <v>21</v>
      </c>
      <c r="L28">
        <v>20260507</v>
      </c>
      <c r="M28" t="str">
        <v>CPU/GPU芯片</v>
      </c>
      <c r="N28" t="str">
        <v>电子</v>
      </c>
    </row>
    <row r="29">
      <c r="A29">
        <v>28</v>
      </c>
      <c r="B29">
        <v>46120</v>
      </c>
      <c r="C29" t="str">
        <v>东山精密</v>
      </c>
      <c r="D29" t="str">
        <v>002384</v>
      </c>
      <c r="E29">
        <v>119.91</v>
      </c>
      <c r="F29">
        <v>20260507</v>
      </c>
      <c r="G29">
        <v>211.07</v>
      </c>
      <c r="H29">
        <v>0.7602368442998916</v>
      </c>
      <c r="I29">
        <v>46120</v>
      </c>
      <c r="J29">
        <v>0.1</v>
      </c>
      <c r="K29">
        <v>1</v>
      </c>
      <c r="L29">
        <v>20260507</v>
      </c>
      <c r="M29" t="str">
        <v>PCB/精密制造</v>
      </c>
      <c r="N29" t="str">
        <v>电子</v>
      </c>
    </row>
    <row r="30">
      <c r="A30">
        <v>29</v>
      </c>
      <c r="B30">
        <v>46120</v>
      </c>
      <c r="C30" t="str">
        <v>香农芯创</v>
      </c>
      <c r="D30">
        <v>300475</v>
      </c>
      <c r="E30">
        <v>145.71</v>
      </c>
      <c r="F30">
        <v>20260507</v>
      </c>
      <c r="G30">
        <v>189.18</v>
      </c>
      <c r="H30">
        <v>0.2983323038912909</v>
      </c>
      <c r="I30">
        <v>46120</v>
      </c>
      <c r="J30">
        <v>0.2</v>
      </c>
      <c r="K30">
        <v>1</v>
      </c>
      <c r="L30">
        <v>20260507</v>
      </c>
      <c r="M30" t="str">
        <v>电子元器件分销</v>
      </c>
      <c r="N30" t="str">
        <v>电子</v>
      </c>
    </row>
    <row r="31">
      <c r="A31">
        <v>30</v>
      </c>
      <c r="B31">
        <v>46126</v>
      </c>
      <c r="C31" t="str">
        <v>欣旺达</v>
      </c>
      <c r="D31">
        <v>300207</v>
      </c>
      <c r="E31">
        <v>28.95</v>
      </c>
      <c r="F31">
        <v>20260514</v>
      </c>
      <c r="G31">
        <v>25.51</v>
      </c>
      <c r="H31">
        <v>-0.1188255613126079</v>
      </c>
      <c r="I31">
        <v>46141</v>
      </c>
      <c r="J31">
        <v>0.0491</v>
      </c>
      <c r="K31">
        <v>12</v>
      </c>
      <c r="L31">
        <v>20260514</v>
      </c>
      <c r="M31" t="str">
        <v>锂电池</v>
      </c>
      <c r="N31" t="str">
        <v>电力设备</v>
      </c>
    </row>
    <row r="32">
      <c r="A32">
        <v>31</v>
      </c>
      <c r="B32">
        <v>46126</v>
      </c>
      <c r="C32" t="str">
        <v>科华数据</v>
      </c>
      <c r="D32" t="str">
        <v>002335</v>
      </c>
      <c r="E32">
        <v>60.1</v>
      </c>
      <c r="F32">
        <v>20260514</v>
      </c>
      <c r="G32">
        <v>65.8</v>
      </c>
      <c r="H32">
        <v>0.09484193011647248</v>
      </c>
      <c r="I32">
        <v>46149</v>
      </c>
      <c r="J32">
        <v>0.1</v>
      </c>
      <c r="K32">
        <v>18</v>
      </c>
      <c r="L32">
        <v>20260514</v>
      </c>
      <c r="M32" t="str">
        <v>电源设备/数据中心</v>
      </c>
      <c r="N32" t="str">
        <v>电力设备</v>
      </c>
    </row>
    <row r="33">
      <c r="A33">
        <v>32</v>
      </c>
      <c r="B33">
        <v>46126</v>
      </c>
      <c r="C33" t="str">
        <v>宏景科技</v>
      </c>
      <c r="D33">
        <v>301396</v>
      </c>
      <c r="E33">
        <v>214.97</v>
      </c>
      <c r="F33">
        <v>20260514</v>
      </c>
      <c r="G33">
        <v>330.28</v>
      </c>
      <c r="H33">
        <v>0.536400427966693</v>
      </c>
      <c r="I33">
        <v>46128</v>
      </c>
      <c r="J33">
        <v>0.2</v>
      </c>
      <c r="K33">
        <v>3</v>
      </c>
      <c r="L33">
        <v>20260514</v>
      </c>
      <c r="M33" t="str">
        <v>智慧城市IT服务</v>
      </c>
      <c r="N33" t="str">
        <v>计算机</v>
      </c>
    </row>
    <row r="34">
      <c r="A34">
        <v>33</v>
      </c>
      <c r="B34">
        <v>46126</v>
      </c>
      <c r="C34" t="str">
        <v>协创数据</v>
      </c>
      <c r="D34">
        <v>300857</v>
      </c>
      <c r="E34">
        <v>240.06</v>
      </c>
      <c r="F34">
        <v>20260514</v>
      </c>
      <c r="G34">
        <v>288.03</v>
      </c>
      <c r="H34">
        <v>0.1998250437390651</v>
      </c>
      <c r="I34">
        <v>46126</v>
      </c>
      <c r="J34">
        <v>0.2</v>
      </c>
      <c r="K34">
        <v>1</v>
      </c>
      <c r="L34">
        <v>20260514</v>
      </c>
      <c r="M34" t="str">
        <v>智能终端制造</v>
      </c>
      <c r="N34" t="str">
        <v>电子</v>
      </c>
    </row>
    <row r="35">
      <c r="A35">
        <v>34</v>
      </c>
      <c r="B35">
        <v>46127</v>
      </c>
      <c r="C35" t="str">
        <v>力量钻石</v>
      </c>
      <c r="D35">
        <v>301071</v>
      </c>
      <c r="E35">
        <v>44.8</v>
      </c>
      <c r="F35">
        <v>20260515</v>
      </c>
      <c r="G35">
        <v>57.11</v>
      </c>
      <c r="H35">
        <v>0.2747767857142858</v>
      </c>
      <c r="I35">
        <v>46155</v>
      </c>
      <c r="J35">
        <v>0.094</v>
      </c>
      <c r="K35">
        <v>21</v>
      </c>
      <c r="L35">
        <v>20260515</v>
      </c>
      <c r="M35" t="str">
        <v>培育钻石/超硬材料</v>
      </c>
      <c r="N35" t="str">
        <v>新材料</v>
      </c>
    </row>
    <row r="36">
      <c r="A36">
        <v>35</v>
      </c>
      <c r="B36">
        <v>46127</v>
      </c>
      <c r="C36" t="str">
        <v>四方达</v>
      </c>
      <c r="D36">
        <v>300179</v>
      </c>
      <c r="E36">
        <v>24.51</v>
      </c>
      <c r="F36">
        <v>20260515</v>
      </c>
      <c r="G36">
        <v>28.63</v>
      </c>
      <c r="H36">
        <v>0.1680946552427579</v>
      </c>
      <c r="I36">
        <v>46155</v>
      </c>
      <c r="J36">
        <v>0.0747</v>
      </c>
      <c r="K36">
        <v>21</v>
      </c>
      <c r="L36">
        <v>20260515</v>
      </c>
      <c r="M36" t="str">
        <v>超硬材料</v>
      </c>
      <c r="N36" t="str">
        <v>新材料</v>
      </c>
    </row>
    <row r="37">
      <c r="A37">
        <v>36</v>
      </c>
      <c r="B37">
        <v>46132</v>
      </c>
      <c r="C37" t="str">
        <v>舒泰神</v>
      </c>
      <c r="D37">
        <v>300204</v>
      </c>
      <c r="E37">
        <v>30.01</v>
      </c>
      <c r="F37">
        <v>20260520</v>
      </c>
      <c r="G37">
        <v>26.58</v>
      </c>
      <c r="H37">
        <v>-0.1142952349216929</v>
      </c>
      <c r="I37">
        <v>46148</v>
      </c>
      <c r="J37">
        <v>0.0427</v>
      </c>
      <c r="K37">
        <v>13</v>
      </c>
      <c r="L37">
        <v>20260520</v>
      </c>
      <c r="M37" t="str">
        <v>生物制品/创新药</v>
      </c>
      <c r="N37" t="str">
        <v>医药生物</v>
      </c>
    </row>
    <row r="38">
      <c r="A38">
        <v>37</v>
      </c>
      <c r="B38">
        <v>46132</v>
      </c>
      <c r="C38" t="str">
        <v>三生国健</v>
      </c>
      <c r="D38">
        <v>688336</v>
      </c>
      <c r="E38">
        <v>85.75</v>
      </c>
      <c r="F38">
        <v>20260520</v>
      </c>
      <c r="G38">
        <v>63.48</v>
      </c>
      <c r="H38">
        <v>-0.2597084548104956</v>
      </c>
      <c r="I38">
        <v>46153</v>
      </c>
      <c r="J38">
        <v>0.028</v>
      </c>
      <c r="K38">
        <v>16</v>
      </c>
      <c r="L38">
        <v>20260520</v>
      </c>
      <c r="M38" t="str">
        <v>抗体药物/生物制品</v>
      </c>
      <c r="N38" t="str">
        <v>医药生物</v>
      </c>
    </row>
    <row r="39">
      <c r="A39">
        <v>38</v>
      </c>
      <c r="B39">
        <v>46134</v>
      </c>
      <c r="C39" t="str">
        <v>容百科技</v>
      </c>
      <c r="D39">
        <v>688005</v>
      </c>
      <c r="E39">
        <v>34.3</v>
      </c>
      <c r="F39">
        <v>20260522</v>
      </c>
      <c r="G39">
        <v>34.91</v>
      </c>
      <c r="H39">
        <v>0.01778425655976675</v>
      </c>
      <c r="I39">
        <v>46148</v>
      </c>
      <c r="J39">
        <v>0.0959</v>
      </c>
      <c r="K39">
        <v>11</v>
      </c>
      <c r="L39">
        <v>20260522</v>
      </c>
      <c r="M39" t="str">
        <v>锂电正极材料</v>
      </c>
      <c r="N39" t="str">
        <v>电力设备</v>
      </c>
    </row>
    <row r="40">
      <c r="A40">
        <v>39</v>
      </c>
      <c r="B40">
        <v>46134</v>
      </c>
      <c r="C40" t="str">
        <v>鼎胜新材</v>
      </c>
      <c r="D40">
        <v>603876</v>
      </c>
      <c r="E40">
        <v>26.6</v>
      </c>
      <c r="F40">
        <v>20260522</v>
      </c>
      <c r="G40">
        <v>27.5</v>
      </c>
      <c r="H40">
        <v>0.03383458646616536</v>
      </c>
      <c r="I40">
        <v>46136</v>
      </c>
      <c r="J40">
        <v>0.1</v>
      </c>
      <c r="K40">
        <v>3</v>
      </c>
      <c r="L40">
        <v>20260522</v>
      </c>
      <c r="M40" t="str">
        <v>铝加工/电池箔</v>
      </c>
      <c r="N40" t="str">
        <v>有色金属</v>
      </c>
    </row>
    <row r="41">
      <c r="A41">
        <v>40</v>
      </c>
      <c r="B41">
        <v>46136</v>
      </c>
      <c r="C41" t="str">
        <v>江河集团</v>
      </c>
      <c r="D41">
        <v>601886</v>
      </c>
      <c r="E41">
        <v>10.16</v>
      </c>
      <c r="F41">
        <v>20260522</v>
      </c>
      <c r="G41">
        <v>8.89</v>
      </c>
      <c r="H41">
        <v>-0.125</v>
      </c>
      <c r="I41">
        <v>46149</v>
      </c>
      <c r="J41">
        <v>0.0227</v>
      </c>
      <c r="K41">
        <v>10</v>
      </c>
      <c r="L41">
        <v>20260522</v>
      </c>
      <c r="M41" t="str">
        <v>建筑幕墙装饰</v>
      </c>
      <c r="N41" t="str">
        <v>建筑装饰</v>
      </c>
    </row>
    <row r="42">
      <c r="A42">
        <v>41</v>
      </c>
      <c r="B42">
        <v>46136</v>
      </c>
      <c r="C42" t="str">
        <v>森特股份</v>
      </c>
      <c r="D42">
        <v>603098</v>
      </c>
      <c r="E42">
        <v>15.25</v>
      </c>
      <c r="F42">
        <v>20260522</v>
      </c>
      <c r="G42">
        <v>12.65</v>
      </c>
      <c r="H42">
        <v>-0.1704918032786885</v>
      </c>
      <c r="I42">
        <v>46141</v>
      </c>
      <c r="J42">
        <v>0.018</v>
      </c>
      <c r="K42">
        <v>4</v>
      </c>
      <c r="L42">
        <v>20260522</v>
      </c>
      <c r="M42" t="str">
        <v>金属围护/建筑工程</v>
      </c>
      <c r="N42" t="str">
        <v>建筑装饰</v>
      </c>
    </row>
    <row r="43">
      <c r="A43">
        <v>42</v>
      </c>
      <c r="B43">
        <v>46136</v>
      </c>
      <c r="C43" t="str">
        <v>美湖股份</v>
      </c>
      <c r="D43">
        <v>603319</v>
      </c>
      <c r="E43">
        <v>38.01</v>
      </c>
      <c r="F43">
        <v>20260522</v>
      </c>
      <c r="G43">
        <v>31.87</v>
      </c>
      <c r="H43">
        <v>-0.1615364377795316</v>
      </c>
      <c r="I43">
        <v>46163</v>
      </c>
      <c r="J43">
        <v>0.0881</v>
      </c>
      <c r="K43">
        <v>20</v>
      </c>
      <c r="L43">
        <v>20260522</v>
      </c>
      <c r="M43" t="str">
        <v>汽车零部件</v>
      </c>
      <c r="N43" t="str">
        <v>汽车</v>
      </c>
    </row>
    <row r="44">
      <c r="A44">
        <v>43</v>
      </c>
      <c r="B44">
        <v>46136</v>
      </c>
      <c r="C44" t="str">
        <v>浙江荣泰</v>
      </c>
      <c r="D44">
        <v>603119</v>
      </c>
      <c r="E44">
        <v>77.81</v>
      </c>
      <c r="F44">
        <v>20260522</v>
      </c>
      <c r="G44">
        <v>79.9</v>
      </c>
      <c r="H44">
        <v>0.0268603007325537</v>
      </c>
      <c r="I44">
        <v>46142</v>
      </c>
      <c r="J44">
        <v>0.1</v>
      </c>
      <c r="K44">
        <v>5</v>
      </c>
      <c r="L44">
        <v>20260522</v>
      </c>
      <c r="M44" t="str">
        <v>汽车绝缘材料</v>
      </c>
      <c r="N44" t="str">
        <v>汽车</v>
      </c>
    </row>
    <row r="45">
      <c r="A45">
        <v>44</v>
      </c>
      <c r="B45">
        <v>46140</v>
      </c>
      <c r="C45" t="str">
        <v>神火股份</v>
      </c>
      <c r="D45" t="str">
        <v>000933</v>
      </c>
      <c r="E45">
        <v>32.14</v>
      </c>
      <c r="F45">
        <v>20260528</v>
      </c>
      <c r="G45">
        <v>29.73</v>
      </c>
      <c r="H45">
        <v>-0.07498444306160548</v>
      </c>
      <c r="I45">
        <v>46168</v>
      </c>
      <c r="J45">
        <v>0.0624</v>
      </c>
      <c r="K45">
        <v>21</v>
      </c>
      <c r="L45">
        <v>20260528</v>
      </c>
      <c r="M45" t="str">
        <v>铝/煤炭</v>
      </c>
      <c r="N45" t="str">
        <v>有色金属</v>
      </c>
    </row>
    <row r="46">
      <c r="A46">
        <v>45</v>
      </c>
      <c r="B46">
        <v>46140</v>
      </c>
      <c r="C46" t="str">
        <v>中国铝业</v>
      </c>
      <c r="D46">
        <v>601600</v>
      </c>
      <c r="E46">
        <v>11.85</v>
      </c>
      <c r="F46">
        <v>20260528</v>
      </c>
      <c r="G46">
        <v>11.3</v>
      </c>
      <c r="H46">
        <v>-0.04641350210970455</v>
      </c>
      <c r="I46">
        <v>46168</v>
      </c>
      <c r="J46">
        <v>0.101</v>
      </c>
      <c r="K46">
        <v>21</v>
      </c>
      <c r="L46">
        <v>20260528</v>
      </c>
      <c r="M46" t="str">
        <v>铝冶炼</v>
      </c>
      <c r="N46" t="str">
        <v>有色金属</v>
      </c>
    </row>
    <row r="47">
      <c r="A47">
        <v>46</v>
      </c>
      <c r="B47">
        <v>46140</v>
      </c>
      <c r="C47" t="str">
        <v>华明装备</v>
      </c>
      <c r="D47" t="str">
        <v>002270</v>
      </c>
      <c r="E47">
        <v>26.55</v>
      </c>
      <c r="F47">
        <v>20260528</v>
      </c>
      <c r="G47">
        <v>23.05</v>
      </c>
      <c r="H47">
        <v>-0.1318267419962335</v>
      </c>
      <c r="I47">
        <v>46167</v>
      </c>
      <c r="J47">
        <v>0.0423</v>
      </c>
      <c r="K47">
        <v>20</v>
      </c>
      <c r="L47">
        <v>20260528</v>
      </c>
      <c r="M47" t="str">
        <v>电力设备/分接开关</v>
      </c>
      <c r="N47" t="str">
        <v>电力设备</v>
      </c>
    </row>
    <row r="48">
      <c r="A48">
        <v>47</v>
      </c>
      <c r="B48">
        <v>46140</v>
      </c>
      <c r="C48" t="str">
        <v>伊戈尔</v>
      </c>
      <c r="D48" t="str">
        <v>002922</v>
      </c>
      <c r="E48">
        <v>40.7</v>
      </c>
      <c r="F48">
        <v>20260528</v>
      </c>
      <c r="G48">
        <v>47.27</v>
      </c>
      <c r="H48">
        <v>0.1614250614250614</v>
      </c>
      <c r="I48">
        <v>46155</v>
      </c>
      <c r="J48">
        <v>0.1</v>
      </c>
      <c r="K48">
        <v>12</v>
      </c>
      <c r="L48">
        <v>20260528</v>
      </c>
      <c r="M48" t="str">
        <v>电源及变压器</v>
      </c>
      <c r="N48" t="str">
        <v>电力设备</v>
      </c>
    </row>
    <row r="49">
      <c r="A49">
        <v>48</v>
      </c>
      <c r="B49">
        <v>46148</v>
      </c>
      <c r="C49" t="str">
        <v>新风光</v>
      </c>
      <c r="D49">
        <v>688663</v>
      </c>
      <c r="E49">
        <v>68.86</v>
      </c>
      <c r="F49">
        <v>20260605</v>
      </c>
      <c r="G49">
        <v>88.37</v>
      </c>
      <c r="H49">
        <v>0.2833284925936684</v>
      </c>
      <c r="I49">
        <v>46160</v>
      </c>
      <c r="J49">
        <v>0.1596</v>
      </c>
      <c r="K49">
        <v>9</v>
      </c>
      <c r="L49">
        <v>20260605</v>
      </c>
      <c r="M49" t="str">
        <v>电力电子设备</v>
      </c>
      <c r="N49" t="str">
        <v>电力设备</v>
      </c>
    </row>
    <row r="50">
      <c r="A50">
        <v>49</v>
      </c>
      <c r="B50">
        <v>46148</v>
      </c>
      <c r="C50" t="str">
        <v>特锐德</v>
      </c>
      <c r="D50">
        <v>300001</v>
      </c>
      <c r="E50">
        <v>29.68</v>
      </c>
      <c r="F50">
        <v>20260605</v>
      </c>
      <c r="G50">
        <v>39.86</v>
      </c>
      <c r="H50">
        <v>0.3429919137466307</v>
      </c>
      <c r="I50">
        <v>46177</v>
      </c>
      <c r="J50">
        <v>0.1199</v>
      </c>
      <c r="K50">
        <v>22</v>
      </c>
      <c r="L50">
        <v>20260605</v>
      </c>
      <c r="M50" t="str">
        <v>充电桩/箱式电力设备</v>
      </c>
      <c r="N50" t="str">
        <v>电力设备</v>
      </c>
    </row>
    <row r="51">
      <c r="A51">
        <v>50</v>
      </c>
      <c r="B51">
        <v>46160</v>
      </c>
      <c r="C51" t="str">
        <v>首都在线</v>
      </c>
      <c r="D51">
        <v>300846</v>
      </c>
      <c r="E51">
        <v>31.41</v>
      </c>
      <c r="F51">
        <v>20260611</v>
      </c>
      <c r="G51">
        <v>20.92</v>
      </c>
      <c r="H51">
        <v>-0.3339700732250875</v>
      </c>
      <c r="I51">
        <v>46161</v>
      </c>
      <c r="J51">
        <v>0.0432</v>
      </c>
      <c r="K51">
        <v>2</v>
      </c>
      <c r="L51">
        <v>20260618</v>
      </c>
      <c r="M51" t="str">
        <v>云计算服务</v>
      </c>
      <c r="N51" t="str">
        <v>计算机</v>
      </c>
    </row>
    <row r="52">
      <c r="A52">
        <v>51</v>
      </c>
      <c r="B52">
        <v>46160</v>
      </c>
      <c r="C52" t="str">
        <v>科华数据</v>
      </c>
      <c r="D52" t="str">
        <v>002335</v>
      </c>
      <c r="E52">
        <v>67</v>
      </c>
      <c r="F52">
        <v>20260611</v>
      </c>
      <c r="G52">
        <v>35.37</v>
      </c>
      <c r="H52">
        <v>-0.472089552238806</v>
      </c>
      <c r="I52">
        <v>46175</v>
      </c>
      <c r="J52">
        <v>0.071</v>
      </c>
      <c r="K52">
        <v>12</v>
      </c>
      <c r="L52">
        <v>20260618</v>
      </c>
      <c r="M52" t="str">
        <v>电源设备/数据中心</v>
      </c>
      <c r="N52" t="str">
        <v>电力设备</v>
      </c>
    </row>
    <row r="53">
      <c r="A53">
        <v>52</v>
      </c>
      <c r="B53">
        <v>46163</v>
      </c>
      <c r="C53" t="str">
        <v>海博思创</v>
      </c>
      <c r="D53">
        <v>688411</v>
      </c>
      <c r="E53">
        <v>268</v>
      </c>
      <c r="F53">
        <v>20260611</v>
      </c>
      <c r="G53">
        <v>241.3</v>
      </c>
      <c r="H53">
        <v>-0.09962686567164175</v>
      </c>
      <c r="I53">
        <v>46167</v>
      </c>
      <c r="J53">
        <v>0.0823</v>
      </c>
      <c r="K53">
        <v>3</v>
      </c>
      <c r="L53">
        <v>20260619</v>
      </c>
      <c r="M53" t="str">
        <v>储能系统</v>
      </c>
      <c r="N53" t="str">
        <v>电力设备</v>
      </c>
    </row>
    <row r="54">
      <c r="A54">
        <v>53</v>
      </c>
      <c r="B54">
        <v>46163</v>
      </c>
      <c r="C54" t="str">
        <v>湖南裕能</v>
      </c>
      <c r="D54">
        <v>301358</v>
      </c>
      <c r="E54">
        <v>94.8</v>
      </c>
      <c r="F54">
        <v>20260611</v>
      </c>
      <c r="G54">
        <v>68.87</v>
      </c>
      <c r="H54">
        <v>-0.2735232067510548</v>
      </c>
      <c r="I54">
        <v>46171</v>
      </c>
      <c r="J54">
        <v>0.0156</v>
      </c>
      <c r="K54">
        <v>7</v>
      </c>
      <c r="L54">
        <v>20260619</v>
      </c>
      <c r="M54" t="str">
        <v>磷酸铁锂正极材料</v>
      </c>
      <c r="N54" t="str">
        <v>电力设备</v>
      </c>
    </row>
  </sheetData>
  <autoFilter ref="A1:O54"/>
  <pageMargins left="0.75" right="0.75" top="1" bottom="1" header="0.5" footer="0.5"/>
  <ignoredErrors>
    <ignoredError numberStoredAsText="1" sqref="A1:O54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L54"/>
  <sheetViews>
    <sheetView workbookViewId="0" rightToLeft="0"/>
  </sheetViews>
  <sheetData>
    <row r="1">
      <c r="A1" t="str">
        <v>序号</v>
      </c>
      <c r="B1" t="str">
        <v>个股推荐日期</v>
      </c>
      <c r="C1" t="str">
        <v>个股名称</v>
      </c>
      <c r="D1" t="str">
        <v>代码</v>
      </c>
      <c r="E1" t="str">
        <v>区间涨跌幅</v>
      </c>
      <c r="F1" t="str">
        <v>最高涨幅（%）</v>
      </c>
      <c r="G1" t="str">
        <v>距推荐日交易天数</v>
      </c>
      <c r="H1" t="str">
        <v>日均收益率</v>
      </c>
      <c r="I1" t="str">
        <v>原始行业</v>
      </c>
      <c r="J1" t="str">
        <v>行业大类</v>
      </c>
      <c r="K1" t="str">
        <v>正收益标识</v>
      </c>
      <c r="L1" t="str">
        <v>收益分布区间</v>
      </c>
    </row>
    <row r="2">
      <c r="A2">
        <v>1</v>
      </c>
      <c r="B2">
        <v>46078</v>
      </c>
      <c r="C2" t="str">
        <v>国瓷材料</v>
      </c>
      <c r="D2" t="str">
        <v>300285</v>
      </c>
      <c r="E2">
        <v>0.1099</v>
      </c>
      <c r="F2">
        <v>0.1107</v>
      </c>
      <c r="G2">
        <v>10</v>
      </c>
      <c r="H2">
        <v>0.0109899569583931</v>
      </c>
      <c r="I2" t="str">
        <v>电子陶瓷/电子材料</v>
      </c>
      <c r="J2" t="str">
        <v>新材料</v>
      </c>
      <c r="K2" t="b">
        <v>1</v>
      </c>
      <c r="L2" t="str">
        <v>10~20%</v>
      </c>
    </row>
    <row r="3">
      <c r="A3">
        <v>2</v>
      </c>
      <c r="B3">
        <v>46078</v>
      </c>
      <c r="C3" t="str">
        <v>风华高科</v>
      </c>
      <c r="D3" t="str">
        <v>000636</v>
      </c>
      <c r="E3">
        <v>0.00439297124600637</v>
      </c>
      <c r="F3">
        <v>0.1</v>
      </c>
      <c r="G3">
        <v>1</v>
      </c>
      <c r="H3">
        <v>0.00439297124600637</v>
      </c>
      <c r="I3" t="str">
        <v>被动元件</v>
      </c>
      <c r="J3" t="str">
        <v>电子</v>
      </c>
      <c r="K3" t="b">
        <v>1</v>
      </c>
      <c r="L3" t="str">
        <v>0~10%</v>
      </c>
    </row>
    <row r="4">
      <c r="A4">
        <v>3</v>
      </c>
      <c r="B4">
        <v>46078</v>
      </c>
      <c r="C4" t="str">
        <v>达利凯普</v>
      </c>
      <c r="D4" t="str">
        <v>301566</v>
      </c>
      <c r="E4">
        <v>0.00708661417322834</v>
      </c>
      <c r="F4">
        <v>0.0735</v>
      </c>
      <c r="G4">
        <v>30</v>
      </c>
      <c r="H4">
        <v>0.0002362204724409447</v>
      </c>
      <c r="I4" t="str">
        <v>被动元件/射频微波MLCC</v>
      </c>
      <c r="J4" t="str">
        <v>电子</v>
      </c>
      <c r="K4" t="b">
        <v>1</v>
      </c>
      <c r="L4" t="str">
        <v>0~10%</v>
      </c>
    </row>
    <row r="5">
      <c r="A5">
        <v>4</v>
      </c>
      <c r="B5">
        <v>46080</v>
      </c>
      <c r="C5" t="str">
        <v>华锐精密</v>
      </c>
      <c r="D5" t="str">
        <v>688059</v>
      </c>
      <c r="E5">
        <v>0.194661458333333</v>
      </c>
      <c r="F5">
        <v>0.1724</v>
      </c>
      <c r="G5">
        <v>43</v>
      </c>
      <c r="H5">
        <v>0.004527010658914721</v>
      </c>
      <c r="I5" t="str">
        <v>数控刀具/硬质合金工具</v>
      </c>
      <c r="J5" t="str">
        <v>机械设备</v>
      </c>
      <c r="K5" t="b">
        <v>1</v>
      </c>
      <c r="L5" t="str">
        <v>10~20%</v>
      </c>
    </row>
    <row r="6">
      <c r="A6">
        <v>5</v>
      </c>
      <c r="B6">
        <v>46080</v>
      </c>
      <c r="C6" t="str">
        <v>新锐股份</v>
      </c>
      <c r="D6" t="str">
        <v>688257</v>
      </c>
      <c r="E6">
        <v>0.267054908485857</v>
      </c>
      <c r="F6">
        <v>0.1497</v>
      </c>
      <c r="G6">
        <v>2</v>
      </c>
      <c r="H6">
        <v>0.1335274542429285</v>
      </c>
      <c r="I6" t="str">
        <v>硬质合金工具</v>
      </c>
      <c r="J6" t="str">
        <v>机械设备</v>
      </c>
      <c r="K6" t="b">
        <v>1</v>
      </c>
      <c r="L6" t="str">
        <v>20~50%</v>
      </c>
    </row>
    <row r="7">
      <c r="A7">
        <v>6</v>
      </c>
      <c r="B7">
        <v>46080</v>
      </c>
      <c r="C7" t="str">
        <v>云南锗业</v>
      </c>
      <c r="D7" t="str">
        <v>002428</v>
      </c>
      <c r="E7">
        <v>0.795790416480072</v>
      </c>
      <c r="F7">
        <v>0.1001</v>
      </c>
      <c r="G7">
        <v>35</v>
      </c>
      <c r="H7">
        <v>0.02273686904228777</v>
      </c>
      <c r="I7" t="str">
        <v>小金属/锗材料</v>
      </c>
      <c r="J7" t="str">
        <v>有色金属</v>
      </c>
      <c r="K7" t="b">
        <v>1</v>
      </c>
      <c r="L7" t="str">
        <v>&gt;50%</v>
      </c>
    </row>
    <row r="8">
      <c r="A8">
        <v>7</v>
      </c>
      <c r="B8">
        <v>46086</v>
      </c>
      <c r="C8" t="str">
        <v>华鲁恒升</v>
      </c>
      <c r="D8" t="str">
        <v>600426</v>
      </c>
      <c r="E8">
        <v>-0.0809160305343511</v>
      </c>
      <c r="F8">
        <v>0.0943</v>
      </c>
      <c r="G8">
        <v>23</v>
      </c>
      <c r="H8">
        <v>-0.003518088284102222</v>
      </c>
      <c r="I8" t="str">
        <v>煤化工/化学原料</v>
      </c>
      <c r="J8" t="str">
        <v>基础化工</v>
      </c>
      <c r="K8" t="b">
        <v>0</v>
      </c>
      <c r="L8" t="str">
        <v>-10~0%</v>
      </c>
    </row>
    <row r="9">
      <c r="A9">
        <v>8</v>
      </c>
      <c r="B9">
        <v>46086</v>
      </c>
      <c r="C9" t="str">
        <v>湖北宜化</v>
      </c>
      <c r="D9" t="str">
        <v>000422</v>
      </c>
      <c r="E9">
        <v>-0.119321291735085</v>
      </c>
      <c r="F9">
        <v>0.0784</v>
      </c>
      <c r="G9">
        <v>13</v>
      </c>
      <c r="H9">
        <v>-0.009178560902698847</v>
      </c>
      <c r="I9" t="str">
        <v>磷化工/化肥</v>
      </c>
      <c r="J9" t="str">
        <v>基础化工</v>
      </c>
      <c r="K9" t="b">
        <v>0</v>
      </c>
      <c r="L9" t="str">
        <v>-20~-10%</v>
      </c>
    </row>
    <row r="10">
      <c r="A10">
        <v>9</v>
      </c>
      <c r="B10">
        <v>46087</v>
      </c>
      <c r="C10" t="str">
        <v>华灿光电</v>
      </c>
      <c r="D10" t="str">
        <v>300323</v>
      </c>
      <c r="E10">
        <v>0.107732406602954</v>
      </c>
      <c r="F10">
        <v>0.1649</v>
      </c>
      <c r="G10">
        <v>1</v>
      </c>
      <c r="H10">
        <v>0.107732406602954</v>
      </c>
      <c r="I10" t="str">
        <v>LED芯片</v>
      </c>
      <c r="J10" t="str">
        <v>电子</v>
      </c>
      <c r="K10" t="b">
        <v>1</v>
      </c>
      <c r="L10" t="str">
        <v>10~20%</v>
      </c>
    </row>
    <row r="11">
      <c r="A11">
        <v>10</v>
      </c>
      <c r="B11">
        <v>46087</v>
      </c>
      <c r="C11" t="str">
        <v>新相微</v>
      </c>
      <c r="D11" t="str">
        <v>688593</v>
      </c>
      <c r="E11">
        <v>0.137891737891738</v>
      </c>
      <c r="F11">
        <v>0.1631</v>
      </c>
      <c r="G11">
        <v>41</v>
      </c>
      <c r="H11">
        <v>0.003363213119310683</v>
      </c>
      <c r="I11" t="str">
        <v>显示驱动芯片</v>
      </c>
      <c r="J11" t="str">
        <v>电子</v>
      </c>
      <c r="K11" t="b">
        <v>1</v>
      </c>
      <c r="L11" t="str">
        <v>10~20%</v>
      </c>
    </row>
    <row r="12">
      <c r="A12">
        <v>11</v>
      </c>
      <c r="B12">
        <v>46087</v>
      </c>
      <c r="C12" t="str">
        <v>利亚德</v>
      </c>
      <c r="D12" t="str">
        <v>300296</v>
      </c>
      <c r="E12">
        <v>-0.236658932714617</v>
      </c>
      <c r="F12">
        <v>0.0812</v>
      </c>
      <c r="G12">
        <v>23</v>
      </c>
      <c r="H12">
        <v>-0.010289518813679</v>
      </c>
      <c r="I12" t="str">
        <v>LED显示</v>
      </c>
      <c r="J12" t="str">
        <v>电子</v>
      </c>
      <c r="K12" t="b">
        <v>0</v>
      </c>
      <c r="L12" t="str">
        <v>-30~-20%</v>
      </c>
    </row>
    <row r="13">
      <c r="A13">
        <v>12</v>
      </c>
      <c r="B13">
        <v>46087</v>
      </c>
      <c r="C13" t="str">
        <v>兆驰股份</v>
      </c>
      <c r="D13" t="str">
        <v>002429</v>
      </c>
      <c r="E13">
        <v>0.0747330960854092</v>
      </c>
      <c r="F13">
        <v>0.1005</v>
      </c>
      <c r="G13">
        <v>6</v>
      </c>
      <c r="H13">
        <v>0.01245551601423487</v>
      </c>
      <c r="I13" t="str">
        <v>显示终端/LED产业链</v>
      </c>
      <c r="J13" t="str">
        <v>家用电器/电子</v>
      </c>
      <c r="K13" t="b">
        <v>1</v>
      </c>
      <c r="L13" t="str">
        <v>0~10%</v>
      </c>
    </row>
    <row r="14">
      <c r="A14">
        <v>13</v>
      </c>
      <c r="B14">
        <v>46087</v>
      </c>
      <c r="C14" t="str">
        <v>安光电</v>
      </c>
      <c r="D14" t="str">
        <v>600703</v>
      </c>
      <c r="E14">
        <v>-0.113583138173302</v>
      </c>
      <c r="F14">
        <v>0.1001</v>
      </c>
      <c r="G14">
        <v>33</v>
      </c>
      <c r="H14">
        <v>-0.003441913277978848</v>
      </c>
      <c r="I14" t="str">
        <v>LED芯片/化合物半导体</v>
      </c>
      <c r="J14" t="str">
        <v>电子</v>
      </c>
      <c r="K14" t="b">
        <v>0</v>
      </c>
      <c r="L14" t="str">
        <v>-20~-10%</v>
      </c>
    </row>
    <row r="15">
      <c r="A15">
        <v>14</v>
      </c>
      <c r="B15">
        <v>46087</v>
      </c>
      <c r="C15" t="str">
        <v>乾照光电</v>
      </c>
      <c r="D15" t="str">
        <v>300102</v>
      </c>
      <c r="E15">
        <v>-0.111647727272727</v>
      </c>
      <c r="F15">
        <v>0.0793</v>
      </c>
      <c r="G15">
        <v>31</v>
      </c>
      <c r="H15">
        <v>-0.003601539589442806</v>
      </c>
      <c r="I15" t="str">
        <v>LED芯片</v>
      </c>
      <c r="J15" t="str">
        <v>电子</v>
      </c>
      <c r="K15" t="b">
        <v>0</v>
      </c>
      <c r="L15" t="str">
        <v>-20~-10%</v>
      </c>
    </row>
    <row r="16">
      <c r="A16">
        <v>15</v>
      </c>
      <c r="B16">
        <v>46091</v>
      </c>
      <c r="C16" t="str">
        <v>万兴科技</v>
      </c>
      <c r="D16" t="str">
        <v>300624</v>
      </c>
      <c r="E16">
        <v>-0.112093660480757</v>
      </c>
      <c r="F16">
        <v>0.0985</v>
      </c>
      <c r="G16">
        <v>21</v>
      </c>
      <c r="H16">
        <v>-0.005337793356226524</v>
      </c>
      <c r="I16" t="str">
        <v>数字创意软件</v>
      </c>
      <c r="J16" t="str">
        <v>计算机</v>
      </c>
      <c r="K16" t="b">
        <v>0</v>
      </c>
      <c r="L16" t="str">
        <v>-20~-10%</v>
      </c>
    </row>
    <row r="17">
      <c r="A17">
        <v>16</v>
      </c>
      <c r="B17">
        <v>46091</v>
      </c>
      <c r="C17" t="str">
        <v>优刻得</v>
      </c>
      <c r="D17" t="str">
        <v>688158</v>
      </c>
      <c r="E17">
        <v>0.0167662362690306</v>
      </c>
      <c r="F17">
        <v>0.1395</v>
      </c>
      <c r="G17">
        <v>22</v>
      </c>
      <c r="H17">
        <v>0.0007621016485923</v>
      </c>
      <c r="I17" t="str">
        <v>云计算服务</v>
      </c>
      <c r="J17" t="str">
        <v>计算机</v>
      </c>
      <c r="K17" t="b">
        <v>1</v>
      </c>
      <c r="L17" t="str">
        <v>0~10%</v>
      </c>
    </row>
    <row r="18">
      <c r="A18">
        <v>17</v>
      </c>
      <c r="B18">
        <v>46091</v>
      </c>
      <c r="C18" t="str">
        <v>顺网科技</v>
      </c>
      <c r="D18" t="str">
        <v>300113</v>
      </c>
      <c r="E18">
        <v>-0.0634715025906735</v>
      </c>
      <c r="F18">
        <v>0.1323</v>
      </c>
      <c r="G18">
        <v>22</v>
      </c>
      <c r="H18">
        <v>-0.002885068299576068</v>
      </c>
      <c r="I18" t="str">
        <v>互联网服务/游戏服务</v>
      </c>
      <c r="J18" t="str">
        <v>传媒</v>
      </c>
      <c r="K18" t="b">
        <v>0</v>
      </c>
      <c r="L18" t="str">
        <v>-10~0%</v>
      </c>
    </row>
    <row r="19">
      <c r="A19">
        <v>18</v>
      </c>
      <c r="B19">
        <v>46091</v>
      </c>
      <c r="C19" t="str">
        <v>中科创达</v>
      </c>
      <c r="D19" t="str">
        <v>300496</v>
      </c>
      <c r="E19">
        <v>-0.0816666666666666</v>
      </c>
      <c r="F19">
        <v>0.0804</v>
      </c>
      <c r="G19">
        <v>22</v>
      </c>
      <c r="H19">
        <v>-0.003712121212121209</v>
      </c>
      <c r="I19" t="str">
        <v>操作系统软件</v>
      </c>
      <c r="J19" t="str">
        <v>计算机</v>
      </c>
      <c r="K19" t="b">
        <v>0</v>
      </c>
      <c r="L19" t="str">
        <v>-10~0%</v>
      </c>
    </row>
    <row r="20">
      <c r="A20">
        <v>19</v>
      </c>
      <c r="B20">
        <v>46091</v>
      </c>
      <c r="C20" t="str">
        <v>拓维信息</v>
      </c>
      <c r="D20" t="str">
        <v>002261</v>
      </c>
      <c r="E20">
        <v>-0.104389086595492</v>
      </c>
      <c r="F20">
        <v>0.0707</v>
      </c>
      <c r="G20">
        <v>22</v>
      </c>
      <c r="H20">
        <v>-0.004744958481613272</v>
      </c>
      <c r="I20" t="str">
        <v>软件开发/IT服务</v>
      </c>
      <c r="J20" t="str">
        <v>计算机</v>
      </c>
      <c r="K20" t="b">
        <v>0</v>
      </c>
      <c r="L20" t="str">
        <v>-20~-10%</v>
      </c>
    </row>
    <row r="21">
      <c r="A21">
        <v>20</v>
      </c>
      <c r="B21">
        <v>46091</v>
      </c>
      <c r="C21" t="str">
        <v>瑞芯微</v>
      </c>
      <c r="D21" t="str">
        <v>603893</v>
      </c>
      <c r="E21">
        <v>0.00700778642936591</v>
      </c>
      <c r="F21">
        <v>0.0803</v>
      </c>
      <c r="G21">
        <v>22</v>
      </c>
      <c r="H21">
        <v>0.0003185357467893596</v>
      </c>
      <c r="I21" t="str">
        <v>数字芯片设计</v>
      </c>
      <c r="J21" t="str">
        <v>电子</v>
      </c>
      <c r="K21" t="b">
        <v>1</v>
      </c>
      <c r="L21" t="str">
        <v>0~10%</v>
      </c>
    </row>
    <row r="22">
      <c r="A22">
        <v>21</v>
      </c>
      <c r="B22">
        <v>46091</v>
      </c>
      <c r="C22" t="str">
        <v>北信源</v>
      </c>
      <c r="D22" t="str">
        <v>300352</v>
      </c>
      <c r="E22">
        <v>-0.397905759162304</v>
      </c>
      <c r="F22">
        <v>0.1141</v>
      </c>
      <c r="G22">
        <v>28</v>
      </c>
      <c r="H22">
        <v>-0.01421091997008228</v>
      </c>
      <c r="I22" t="str">
        <v>网络安全软件</v>
      </c>
      <c r="J22" t="str">
        <v>计算机</v>
      </c>
      <c r="K22" t="b">
        <v>0</v>
      </c>
      <c r="L22" t="str">
        <v>&lt;-30%</v>
      </c>
    </row>
    <row r="23">
      <c r="A23">
        <v>22</v>
      </c>
      <c r="B23">
        <v>46093</v>
      </c>
      <c r="C23" t="str">
        <v>金杯电工</v>
      </c>
      <c r="D23" t="str">
        <v>002533</v>
      </c>
      <c r="E23">
        <v>-0.119242902208202</v>
      </c>
      <c r="F23">
        <v>0.0503</v>
      </c>
      <c r="G23">
        <v>10</v>
      </c>
      <c r="H23">
        <v>-0.0119242902208202</v>
      </c>
      <c r="I23" t="str">
        <v>电线电缆</v>
      </c>
      <c r="J23" t="str">
        <v>电力设备</v>
      </c>
      <c r="K23" t="b">
        <v>0</v>
      </c>
      <c r="L23" t="str">
        <v>-20~-10%</v>
      </c>
    </row>
    <row r="24">
      <c r="A24">
        <v>23</v>
      </c>
      <c r="B24">
        <v>46093</v>
      </c>
      <c r="C24" t="str">
        <v>法拉电子</v>
      </c>
      <c r="D24" t="str">
        <v>600563</v>
      </c>
      <c r="E24">
        <v>0.043109243697479</v>
      </c>
      <c r="F24">
        <v>0.0823</v>
      </c>
      <c r="G24">
        <v>5</v>
      </c>
      <c r="H24">
        <v>0.0086218487394958</v>
      </c>
      <c r="I24" t="str">
        <v>薄膜电容</v>
      </c>
      <c r="J24" t="str">
        <v>电子</v>
      </c>
      <c r="K24" t="b">
        <v>1</v>
      </c>
      <c r="L24" t="str">
        <v>0~10%</v>
      </c>
    </row>
    <row r="25">
      <c r="A25">
        <v>24</v>
      </c>
      <c r="B25">
        <v>46093</v>
      </c>
      <c r="C25" t="str">
        <v>永福股份</v>
      </c>
      <c r="D25" t="str">
        <v>300712</v>
      </c>
      <c r="E25">
        <v>-0.15779702970297</v>
      </c>
      <c r="F25">
        <v>0.0534</v>
      </c>
      <c r="G25">
        <v>9</v>
      </c>
      <c r="H25">
        <v>-0.01753300330033</v>
      </c>
      <c r="I25" t="str">
        <v>电力工程设计</v>
      </c>
      <c r="J25" t="str">
        <v>建筑工程/电力设备</v>
      </c>
      <c r="K25" t="b">
        <v>0</v>
      </c>
      <c r="L25" t="str">
        <v>-20~-10%</v>
      </c>
    </row>
    <row r="26">
      <c r="A26">
        <v>25</v>
      </c>
      <c r="B26">
        <v>46111</v>
      </c>
      <c r="C26" t="str">
        <v>永太科技</v>
      </c>
      <c r="D26" t="str">
        <v>002326</v>
      </c>
      <c r="E26">
        <v>0.060553633217993</v>
      </c>
      <c r="F26">
        <v>0.0623</v>
      </c>
      <c r="G26">
        <v>12</v>
      </c>
      <c r="H26">
        <v>0.005046136101499417</v>
      </c>
      <c r="I26" t="str">
        <v>氟化工/精细化工</v>
      </c>
      <c r="J26" t="str">
        <v>基础化工</v>
      </c>
      <c r="K26" t="b">
        <v>1</v>
      </c>
      <c r="L26" t="str">
        <v>0~10%</v>
      </c>
    </row>
    <row r="27">
      <c r="A27">
        <v>26</v>
      </c>
      <c r="B27">
        <v>46111</v>
      </c>
      <c r="C27" t="str">
        <v>天赐材料</v>
      </c>
      <c r="D27" t="str">
        <v>002709</v>
      </c>
      <c r="E27">
        <v>0.329663349565954</v>
      </c>
      <c r="F27">
        <v>0.0939</v>
      </c>
      <c r="G27">
        <v>23</v>
      </c>
      <c r="H27">
        <v>0.01433318911156322</v>
      </c>
      <c r="I27" t="str">
        <v>锂电池电解液材料</v>
      </c>
      <c r="J27" t="str">
        <v>电力设备</v>
      </c>
      <c r="K27" t="b">
        <v>1</v>
      </c>
      <c r="L27" t="str">
        <v>20~50%</v>
      </c>
    </row>
    <row r="28">
      <c r="A28">
        <v>27</v>
      </c>
      <c r="B28">
        <v>46120</v>
      </c>
      <c r="C28" t="str">
        <v>海光信息</v>
      </c>
      <c r="D28" t="str">
        <v>688041</v>
      </c>
      <c r="E28">
        <v>0.510835913312694</v>
      </c>
      <c r="F28">
        <v>0.1626</v>
      </c>
      <c r="G28">
        <v>21</v>
      </c>
      <c r="H28">
        <v>0.02432551968155686</v>
      </c>
      <c r="I28" t="str">
        <v>CPU/GPU芯片</v>
      </c>
      <c r="J28" t="str">
        <v>电子</v>
      </c>
      <c r="K28" t="b">
        <v>1</v>
      </c>
      <c r="L28" t="str">
        <v>&gt;50%</v>
      </c>
    </row>
    <row r="29">
      <c r="A29">
        <v>28</v>
      </c>
      <c r="B29">
        <v>46120</v>
      </c>
      <c r="C29" t="str">
        <v>东山精密</v>
      </c>
      <c r="D29" t="str">
        <v>002384</v>
      </c>
      <c r="E29">
        <v>0.760236844299892</v>
      </c>
      <c r="F29">
        <v>0.1</v>
      </c>
      <c r="G29">
        <v>1</v>
      </c>
      <c r="H29">
        <v>0.760236844299892</v>
      </c>
      <c r="I29" t="str">
        <v>PCB/精密制造</v>
      </c>
      <c r="J29" t="str">
        <v>电子</v>
      </c>
      <c r="K29" t="b">
        <v>1</v>
      </c>
      <c r="L29" t="str">
        <v>&gt;50%</v>
      </c>
    </row>
    <row r="30">
      <c r="A30">
        <v>29</v>
      </c>
      <c r="B30">
        <v>46120</v>
      </c>
      <c r="C30" t="str">
        <v>香农芯创</v>
      </c>
      <c r="D30" t="str">
        <v>300475</v>
      </c>
      <c r="E30">
        <v>0.298332303891291</v>
      </c>
      <c r="F30">
        <v>0.2</v>
      </c>
      <c r="G30">
        <v>1</v>
      </c>
      <c r="H30">
        <v>0.298332303891291</v>
      </c>
      <c r="I30" t="str">
        <v>电子元器件分销</v>
      </c>
      <c r="J30" t="str">
        <v>电子</v>
      </c>
      <c r="K30" t="b">
        <v>1</v>
      </c>
      <c r="L30" t="str">
        <v>20~50%</v>
      </c>
    </row>
    <row r="31">
      <c r="A31">
        <v>30</v>
      </c>
      <c r="B31">
        <v>46126</v>
      </c>
      <c r="C31" t="str">
        <v>欣旺达</v>
      </c>
      <c r="D31" t="str">
        <v>300207</v>
      </c>
      <c r="E31">
        <v>-0.118825561312608</v>
      </c>
      <c r="F31">
        <v>0.0491</v>
      </c>
      <c r="G31">
        <v>12</v>
      </c>
      <c r="H31">
        <v>-0.009902130109384</v>
      </c>
      <c r="I31" t="str">
        <v>锂电池</v>
      </c>
      <c r="J31" t="str">
        <v>电力设备</v>
      </c>
      <c r="K31" t="b">
        <v>0</v>
      </c>
      <c r="L31" t="str">
        <v>-20~-10%</v>
      </c>
    </row>
    <row r="32">
      <c r="A32">
        <v>31</v>
      </c>
      <c r="B32">
        <v>46126</v>
      </c>
      <c r="C32" t="str">
        <v>科华数据</v>
      </c>
      <c r="D32" t="str">
        <v>002335</v>
      </c>
      <c r="E32">
        <v>0.0948419301164725</v>
      </c>
      <c r="F32">
        <v>0.1</v>
      </c>
      <c r="G32">
        <v>18</v>
      </c>
      <c r="H32">
        <v>0.005268996117581806</v>
      </c>
      <c r="I32" t="str">
        <v>电源设备/数据中心</v>
      </c>
      <c r="J32" t="str">
        <v>电力设备</v>
      </c>
      <c r="K32" t="b">
        <v>1</v>
      </c>
      <c r="L32" t="str">
        <v>0~10%</v>
      </c>
    </row>
    <row r="33">
      <c r="A33">
        <v>32</v>
      </c>
      <c r="B33">
        <v>46126</v>
      </c>
      <c r="C33" t="str">
        <v>宏景科技</v>
      </c>
      <c r="D33" t="str">
        <v>301396</v>
      </c>
      <c r="E33">
        <v>0.536400427966693</v>
      </c>
      <c r="F33">
        <v>0.2</v>
      </c>
      <c r="G33">
        <v>3</v>
      </c>
      <c r="H33">
        <v>0.1788001426555643</v>
      </c>
      <c r="I33" t="str">
        <v>智慧城市IT服务</v>
      </c>
      <c r="J33" t="str">
        <v>计算机</v>
      </c>
      <c r="K33" t="b">
        <v>1</v>
      </c>
      <c r="L33" t="str">
        <v>&gt;50%</v>
      </c>
    </row>
    <row r="34">
      <c r="A34">
        <v>33</v>
      </c>
      <c r="B34">
        <v>46126</v>
      </c>
      <c r="C34" t="str">
        <v>协创数据</v>
      </c>
      <c r="D34" t="str">
        <v>300857</v>
      </c>
      <c r="E34">
        <v>0.199825043739065</v>
      </c>
      <c r="F34">
        <v>0.2</v>
      </c>
      <c r="G34">
        <v>1</v>
      </c>
      <c r="H34">
        <v>0.199825043739065</v>
      </c>
      <c r="I34" t="str">
        <v>智能终端制造</v>
      </c>
      <c r="J34" t="str">
        <v>电子</v>
      </c>
      <c r="K34" t="b">
        <v>1</v>
      </c>
      <c r="L34" t="str">
        <v>10~20%</v>
      </c>
    </row>
    <row r="35">
      <c r="A35">
        <v>34</v>
      </c>
      <c r="B35">
        <v>46127</v>
      </c>
      <c r="C35" t="str">
        <v>力量钻石</v>
      </c>
      <c r="D35" t="str">
        <v>301071</v>
      </c>
      <c r="E35">
        <v>0.274776785714286</v>
      </c>
      <c r="F35">
        <v>0.094</v>
      </c>
      <c r="G35">
        <v>21</v>
      </c>
      <c r="H35">
        <v>0.01308460884353743</v>
      </c>
      <c r="I35" t="str">
        <v>培育钻石/超硬材料</v>
      </c>
      <c r="J35" t="str">
        <v>新材料</v>
      </c>
      <c r="K35" t="b">
        <v>1</v>
      </c>
      <c r="L35" t="str">
        <v>20~50%</v>
      </c>
    </row>
    <row r="36">
      <c r="A36">
        <v>35</v>
      </c>
      <c r="B36">
        <v>46127</v>
      </c>
      <c r="C36" t="str">
        <v>四方达</v>
      </c>
      <c r="D36" t="str">
        <v>300179</v>
      </c>
      <c r="E36">
        <v>0.168094655242758</v>
      </c>
      <c r="F36">
        <v>0.0747</v>
      </c>
      <c r="G36">
        <v>21</v>
      </c>
      <c r="H36">
        <v>0.008004507392512286</v>
      </c>
      <c r="I36" t="str">
        <v>超硬材料</v>
      </c>
      <c r="J36" t="str">
        <v>新材料</v>
      </c>
      <c r="K36" t="b">
        <v>1</v>
      </c>
      <c r="L36" t="str">
        <v>10~20%</v>
      </c>
    </row>
    <row r="37">
      <c r="A37">
        <v>36</v>
      </c>
      <c r="B37">
        <v>46132</v>
      </c>
      <c r="C37" t="str">
        <v>舒泰神</v>
      </c>
      <c r="D37" t="str">
        <v>300204</v>
      </c>
      <c r="E37">
        <v>-0.114295234921693</v>
      </c>
      <c r="F37">
        <v>0.0427</v>
      </c>
      <c r="G37">
        <v>13</v>
      </c>
      <c r="H37">
        <v>-0.008791941147822538</v>
      </c>
      <c r="I37" t="str">
        <v>生物制品/创新药</v>
      </c>
      <c r="J37" t="str">
        <v>医药生物</v>
      </c>
      <c r="K37" t="b">
        <v>0</v>
      </c>
      <c r="L37" t="str">
        <v>-20~-10%</v>
      </c>
    </row>
    <row r="38">
      <c r="A38">
        <v>37</v>
      </c>
      <c r="B38">
        <v>46132</v>
      </c>
      <c r="C38" t="str">
        <v>三生国健</v>
      </c>
      <c r="D38" t="str">
        <v>688336</v>
      </c>
      <c r="E38">
        <v>-0.259708454810496</v>
      </c>
      <c r="F38">
        <v>0.028</v>
      </c>
      <c r="G38">
        <v>16</v>
      </c>
      <c r="H38">
        <v>-0.016231778425656</v>
      </c>
      <c r="I38" t="str">
        <v>抗体药物/生物制品</v>
      </c>
      <c r="J38" t="str">
        <v>医药生物</v>
      </c>
      <c r="K38" t="b">
        <v>0</v>
      </c>
      <c r="L38" t="str">
        <v>-30~-20%</v>
      </c>
    </row>
    <row r="39">
      <c r="A39">
        <v>38</v>
      </c>
      <c r="B39">
        <v>46134</v>
      </c>
      <c r="C39" t="str">
        <v>容百科技</v>
      </c>
      <c r="D39" t="str">
        <v>688005</v>
      </c>
      <c r="E39">
        <v>0.0177842565597667</v>
      </c>
      <c r="F39">
        <v>0.0959</v>
      </c>
      <c r="G39">
        <v>11</v>
      </c>
      <c r="H39">
        <v>0.001616750596342427</v>
      </c>
      <c r="I39" t="str">
        <v>锂电正极材料</v>
      </c>
      <c r="J39" t="str">
        <v>电力设备</v>
      </c>
      <c r="K39" t="b">
        <v>1</v>
      </c>
      <c r="L39" t="str">
        <v>0~10%</v>
      </c>
    </row>
    <row r="40">
      <c r="A40">
        <v>39</v>
      </c>
      <c r="B40">
        <v>46134</v>
      </c>
      <c r="C40" t="str">
        <v>鼎胜新材</v>
      </c>
      <c r="D40" t="str">
        <v>603876</v>
      </c>
      <c r="E40">
        <v>0.0338345864661654</v>
      </c>
      <c r="F40">
        <v>0.1</v>
      </c>
      <c r="G40">
        <v>3</v>
      </c>
      <c r="H40">
        <v>0.0112781954887218</v>
      </c>
      <c r="I40" t="str">
        <v>铝加工/电池箔</v>
      </c>
      <c r="J40" t="str">
        <v>有色金属</v>
      </c>
      <c r="K40" t="b">
        <v>1</v>
      </c>
      <c r="L40" t="str">
        <v>0~10%</v>
      </c>
    </row>
    <row r="41">
      <c r="A41">
        <v>40</v>
      </c>
      <c r="B41">
        <v>46136</v>
      </c>
      <c r="C41" t="str">
        <v>江河集团</v>
      </c>
      <c r="D41" t="str">
        <v>601886</v>
      </c>
      <c r="E41">
        <v>-0.125</v>
      </c>
      <c r="F41">
        <v>0.0227</v>
      </c>
      <c r="G41">
        <v>10</v>
      </c>
      <c r="H41">
        <v>-0.0125</v>
      </c>
      <c r="I41" t="str">
        <v>建筑幕墙装饰</v>
      </c>
      <c r="J41" t="str">
        <v>建筑装饰</v>
      </c>
      <c r="K41" t="b">
        <v>0</v>
      </c>
      <c r="L41" t="str">
        <v>-20~-10%</v>
      </c>
    </row>
    <row r="42">
      <c r="A42">
        <v>41</v>
      </c>
      <c r="B42">
        <v>46136</v>
      </c>
      <c r="C42" t="str">
        <v>森特股份</v>
      </c>
      <c r="D42" t="str">
        <v>603098</v>
      </c>
      <c r="E42">
        <v>-0.170491803278689</v>
      </c>
      <c r="F42">
        <v>0.018</v>
      </c>
      <c r="G42">
        <v>4</v>
      </c>
      <c r="H42">
        <v>-0.04262295081967225</v>
      </c>
      <c r="I42" t="str">
        <v>金属围护/建筑工程</v>
      </c>
      <c r="J42" t="str">
        <v>建筑装饰</v>
      </c>
      <c r="K42" t="b">
        <v>0</v>
      </c>
      <c r="L42" t="str">
        <v>-20~-10%</v>
      </c>
    </row>
    <row r="43">
      <c r="A43">
        <v>42</v>
      </c>
      <c r="B43">
        <v>46136</v>
      </c>
      <c r="C43" t="str">
        <v>美湖股份</v>
      </c>
      <c r="D43" t="str">
        <v>603319</v>
      </c>
      <c r="E43">
        <v>-0.161536437779532</v>
      </c>
      <c r="F43">
        <v>0.0881</v>
      </c>
      <c r="G43">
        <v>20</v>
      </c>
      <c r="H43">
        <v>-0.0080768218889766</v>
      </c>
      <c r="I43" t="str">
        <v>汽车零部件</v>
      </c>
      <c r="J43" t="str">
        <v>汽车</v>
      </c>
      <c r="K43" t="b">
        <v>0</v>
      </c>
      <c r="L43" t="str">
        <v>-20~-10%</v>
      </c>
    </row>
    <row r="44">
      <c r="A44">
        <v>43</v>
      </c>
      <c r="B44">
        <v>46136</v>
      </c>
      <c r="C44" t="str">
        <v>浙江荣泰</v>
      </c>
      <c r="D44" t="str">
        <v>603119</v>
      </c>
      <c r="E44">
        <v>0.0268603007325537</v>
      </c>
      <c r="F44">
        <v>0.1</v>
      </c>
      <c r="G44">
        <v>5</v>
      </c>
      <c r="H44">
        <v>0.00537206014651074</v>
      </c>
      <c r="I44" t="str">
        <v>汽车绝缘材料</v>
      </c>
      <c r="J44" t="str">
        <v>汽车</v>
      </c>
      <c r="K44" t="b">
        <v>1</v>
      </c>
      <c r="L44" t="str">
        <v>0~10%</v>
      </c>
    </row>
    <row r="45">
      <c r="A45">
        <v>44</v>
      </c>
      <c r="B45">
        <v>46140</v>
      </c>
      <c r="C45" t="str">
        <v>神火股份</v>
      </c>
      <c r="D45" t="str">
        <v>000933</v>
      </c>
      <c r="E45">
        <v>-0.0749844430616055</v>
      </c>
      <c r="F45">
        <v>0.0624</v>
      </c>
      <c r="G45">
        <v>21</v>
      </c>
      <c r="H45">
        <v>-0.003570687764838357</v>
      </c>
      <c r="I45" t="str">
        <v>铝/煤炭</v>
      </c>
      <c r="J45" t="str">
        <v>有色金属</v>
      </c>
      <c r="K45" t="b">
        <v>0</v>
      </c>
      <c r="L45" t="str">
        <v>-10~0%</v>
      </c>
    </row>
    <row r="46">
      <c r="A46">
        <v>45</v>
      </c>
      <c r="B46">
        <v>46140</v>
      </c>
      <c r="C46" t="str">
        <v>中国铝业</v>
      </c>
      <c r="D46" t="str">
        <v>601600</v>
      </c>
      <c r="E46">
        <v>-0.0464135021097046</v>
      </c>
      <c r="F46">
        <v>0.101</v>
      </c>
      <c r="G46">
        <v>21</v>
      </c>
      <c r="H46">
        <v>-0.002210166767128791</v>
      </c>
      <c r="I46" t="str">
        <v>铝冶炼</v>
      </c>
      <c r="J46" t="str">
        <v>有色金属</v>
      </c>
      <c r="K46" t="b">
        <v>0</v>
      </c>
      <c r="L46" t="str">
        <v>-10~0%</v>
      </c>
    </row>
    <row r="47">
      <c r="A47">
        <v>46</v>
      </c>
      <c r="B47">
        <v>46140</v>
      </c>
      <c r="C47" t="str">
        <v>华明装备</v>
      </c>
      <c r="D47" t="str">
        <v>002270</v>
      </c>
      <c r="E47">
        <v>-0.131826741996234</v>
      </c>
      <c r="F47">
        <v>0.0423</v>
      </c>
      <c r="G47">
        <v>20</v>
      </c>
      <c r="H47">
        <v>-0.006591337099811701</v>
      </c>
      <c r="I47" t="str">
        <v>电力设备/分接开关</v>
      </c>
      <c r="J47" t="str">
        <v>电力设备</v>
      </c>
      <c r="K47" t="b">
        <v>0</v>
      </c>
      <c r="L47" t="str">
        <v>-20~-10%</v>
      </c>
    </row>
    <row r="48">
      <c r="A48">
        <v>47</v>
      </c>
      <c r="B48">
        <v>46140</v>
      </c>
      <c r="C48" t="str">
        <v>伊戈尔</v>
      </c>
      <c r="D48" t="str">
        <v>002922</v>
      </c>
      <c r="E48">
        <v>0.161425061425061</v>
      </c>
      <c r="F48">
        <v>0.1</v>
      </c>
      <c r="G48">
        <v>12</v>
      </c>
      <c r="H48">
        <v>0.01345208845208842</v>
      </c>
      <c r="I48" t="str">
        <v>电源及变压器</v>
      </c>
      <c r="J48" t="str">
        <v>电力设备</v>
      </c>
      <c r="K48" t="b">
        <v>1</v>
      </c>
      <c r="L48" t="str">
        <v>10~20%</v>
      </c>
    </row>
    <row r="49">
      <c r="A49">
        <v>48</v>
      </c>
      <c r="B49">
        <v>46148</v>
      </c>
      <c r="C49" t="str">
        <v>新风光</v>
      </c>
      <c r="D49" t="str">
        <v>688663</v>
      </c>
      <c r="E49">
        <v>0.283328492593668</v>
      </c>
      <c r="F49">
        <v>0.1596</v>
      </c>
      <c r="G49">
        <v>9</v>
      </c>
      <c r="H49">
        <v>0.03148094362151867</v>
      </c>
      <c r="I49" t="str">
        <v>电力电子设备</v>
      </c>
      <c r="J49" t="str">
        <v>电力设备</v>
      </c>
      <c r="K49" t="b">
        <v>1</v>
      </c>
      <c r="L49" t="str">
        <v>20~50%</v>
      </c>
    </row>
    <row r="50">
      <c r="A50">
        <v>49</v>
      </c>
      <c r="B50">
        <v>46148</v>
      </c>
      <c r="C50" t="str">
        <v>特锐德</v>
      </c>
      <c r="D50" t="str">
        <v>300001</v>
      </c>
      <c r="E50">
        <v>0.342991913746631</v>
      </c>
      <c r="F50">
        <v>0.1199</v>
      </c>
      <c r="G50">
        <v>22</v>
      </c>
      <c r="H50">
        <v>0.01559054153393777</v>
      </c>
      <c r="I50" t="str">
        <v>充电桩/箱式电力设备</v>
      </c>
      <c r="J50" t="str">
        <v>电力设备</v>
      </c>
      <c r="K50" t="b">
        <v>1</v>
      </c>
      <c r="L50" t="str">
        <v>20~50%</v>
      </c>
    </row>
    <row r="51">
      <c r="A51">
        <v>50</v>
      </c>
      <c r="B51">
        <v>46160</v>
      </c>
      <c r="C51" t="str">
        <v>首都在线</v>
      </c>
      <c r="D51" t="str">
        <v>300846</v>
      </c>
      <c r="E51">
        <v>-0.2735</v>
      </c>
      <c r="F51">
        <v>0.0432</v>
      </c>
      <c r="G51">
        <v>2</v>
      </c>
      <c r="H51">
        <v>-0.13675</v>
      </c>
      <c r="I51" t="str">
        <v>云计算服务</v>
      </c>
      <c r="J51" t="str">
        <v>计算机</v>
      </c>
      <c r="K51" t="b">
        <v>0</v>
      </c>
      <c r="L51" t="str">
        <v>-30~-20%</v>
      </c>
    </row>
    <row r="52">
      <c r="A52">
        <v>51</v>
      </c>
      <c r="B52">
        <v>46160</v>
      </c>
      <c r="C52" t="str">
        <v>科华数据</v>
      </c>
      <c r="D52" t="str">
        <v>002335</v>
      </c>
      <c r="E52">
        <v>-0.4122</v>
      </c>
      <c r="F52">
        <v>0.071</v>
      </c>
      <c r="G52">
        <v>12</v>
      </c>
      <c r="H52">
        <v>-0.03435</v>
      </c>
      <c r="I52" t="str">
        <v>电源设备/数据中心</v>
      </c>
      <c r="J52" t="str">
        <v>电力设备</v>
      </c>
      <c r="K52" t="b">
        <v>0</v>
      </c>
      <c r="L52" t="str">
        <v>&lt;-30%</v>
      </c>
    </row>
    <row r="53">
      <c r="A53">
        <v>52</v>
      </c>
      <c r="B53">
        <v>46163</v>
      </c>
      <c r="C53" t="str">
        <v>海博思创</v>
      </c>
      <c r="D53" t="str">
        <v>688411</v>
      </c>
      <c r="E53">
        <v>0.0485</v>
      </c>
      <c r="F53">
        <v>0.0823</v>
      </c>
      <c r="G53">
        <v>3</v>
      </c>
      <c r="H53">
        <v>0.016166666666666666</v>
      </c>
      <c r="I53" t="str">
        <v>储能系统</v>
      </c>
      <c r="J53" t="str">
        <v>电力设备</v>
      </c>
      <c r="K53" t="b">
        <v>1</v>
      </c>
      <c r="L53" t="str">
        <v>0~10%</v>
      </c>
    </row>
    <row r="54">
      <c r="A54">
        <v>53</v>
      </c>
      <c r="B54">
        <v>46163</v>
      </c>
      <c r="C54" t="str">
        <v>湖南裕能</v>
      </c>
      <c r="D54" t="str">
        <v>301358</v>
      </c>
      <c r="E54">
        <v>-0.1975</v>
      </c>
      <c r="F54">
        <v>0.0156</v>
      </c>
      <c r="G54">
        <v>7</v>
      </c>
      <c r="H54">
        <v>-0.028214285714285716</v>
      </c>
      <c r="I54" t="str">
        <v>磷酸铁锂正极材料</v>
      </c>
      <c r="J54" t="str">
        <v>电力设备</v>
      </c>
      <c r="K54" t="b">
        <v>0</v>
      </c>
      <c r="L54" t="str">
        <v>-20~-10%</v>
      </c>
    </row>
  </sheetData>
  <autoFilter ref="A1:L54"/>
  <pageMargins left="0.75" right="0.75" top="1" bottom="1" header="0.5" footer="0.5"/>
  <ignoredErrors>
    <ignoredError numberStoredAsText="1" sqref="A1:L54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J54"/>
  <sheetViews>
    <sheetView workbookViewId="0" rightToLeft="0"/>
  </sheetViews>
  <sheetData>
    <row r="1">
      <c r="A1" t="str">
        <v>个股名称</v>
      </c>
      <c r="B1" t="str">
        <v>代码</v>
      </c>
      <c r="C1" t="str">
        <v>行业大类</v>
      </c>
      <c r="D1" t="str">
        <v>区间涨跌幅</v>
      </c>
      <c r="E1" t="str">
        <v>距推荐日交易天数</v>
      </c>
      <c r="F1" t="str">
        <v>日均收益率</v>
      </c>
      <c r="G1" t="str">
        <v>最高涨幅（%）</v>
      </c>
      <c r="H1" t="str">
        <v>Top/Bottom 标识</v>
      </c>
      <c r="I1" t="str">
        <v>是否标注</v>
      </c>
      <c r="J1" t="str">
        <v>收益分布区间</v>
      </c>
    </row>
    <row r="2">
      <c r="A2" t="str">
        <v>云南锗业</v>
      </c>
      <c r="B2" t="str">
        <v>002428</v>
      </c>
      <c r="C2" t="str">
        <v>有色金属</v>
      </c>
      <c r="D2">
        <v>0.795790416480072</v>
      </c>
      <c r="E2">
        <v>35</v>
      </c>
      <c r="F2">
        <v>0.02273686904228777</v>
      </c>
      <c r="G2">
        <v>0.1001</v>
      </c>
      <c r="H2" t="str">
        <v>Top 10</v>
      </c>
      <c r="I2" t="str">
        <v>是</v>
      </c>
      <c r="J2" t="str">
        <v>&gt;50%</v>
      </c>
    </row>
    <row r="3">
      <c r="A3" t="str">
        <v>东山精密</v>
      </c>
      <c r="B3" t="str">
        <v>002384</v>
      </c>
      <c r="C3" t="str">
        <v>电子</v>
      </c>
      <c r="D3">
        <v>0.760236844299892</v>
      </c>
      <c r="E3">
        <v>1</v>
      </c>
      <c r="F3">
        <v>0.760236844299892</v>
      </c>
      <c r="G3">
        <v>0.1</v>
      </c>
      <c r="H3" t="str">
        <v>Top 10</v>
      </c>
      <c r="I3" t="str">
        <v>是</v>
      </c>
      <c r="J3" t="str">
        <v>&gt;50%</v>
      </c>
    </row>
    <row r="4">
      <c r="A4" t="str">
        <v>宏景科技</v>
      </c>
      <c r="B4" t="str">
        <v>301396</v>
      </c>
      <c r="C4" t="str">
        <v>计算机</v>
      </c>
      <c r="D4">
        <v>0.536400427966693</v>
      </c>
      <c r="E4">
        <v>3</v>
      </c>
      <c r="F4">
        <v>0.1788001426555643</v>
      </c>
      <c r="G4">
        <v>0.2</v>
      </c>
      <c r="H4" t="str">
        <v>Top 10</v>
      </c>
      <c r="I4" t="str">
        <v>是</v>
      </c>
      <c r="J4" t="str">
        <v>&gt;50%</v>
      </c>
    </row>
    <row r="5">
      <c r="A5" t="str">
        <v>海光信息</v>
      </c>
      <c r="B5" t="str">
        <v>688041</v>
      </c>
      <c r="C5" t="str">
        <v>电子</v>
      </c>
      <c r="D5">
        <v>0.510835913312694</v>
      </c>
      <c r="E5">
        <v>21</v>
      </c>
      <c r="F5">
        <v>0.02432551968155686</v>
      </c>
      <c r="G5">
        <v>0.1626</v>
      </c>
      <c r="H5" t="str">
        <v>Top 10</v>
      </c>
      <c r="I5" t="str">
        <v>是</v>
      </c>
      <c r="J5" t="str">
        <v>&gt;50%</v>
      </c>
    </row>
    <row r="6">
      <c r="A6" t="str">
        <v>特锐德</v>
      </c>
      <c r="B6" t="str">
        <v>300001</v>
      </c>
      <c r="C6" t="str">
        <v>电力设备</v>
      </c>
      <c r="D6">
        <v>0.342991913746631</v>
      </c>
      <c r="E6">
        <v>22</v>
      </c>
      <c r="F6">
        <v>0.01559054153393777</v>
      </c>
      <c r="G6">
        <v>0.1199</v>
      </c>
      <c r="H6" t="str">
        <v>Top 10</v>
      </c>
      <c r="I6" t="str">
        <v>是</v>
      </c>
      <c r="J6" t="str">
        <v>20~50%</v>
      </c>
    </row>
    <row r="7">
      <c r="A7" t="str">
        <v>天赐材料</v>
      </c>
      <c r="B7" t="str">
        <v>002709</v>
      </c>
      <c r="C7" t="str">
        <v>电力设备</v>
      </c>
      <c r="D7">
        <v>0.329663349565954</v>
      </c>
      <c r="E7">
        <v>23</v>
      </c>
      <c r="F7">
        <v>0.01433318911156322</v>
      </c>
      <c r="G7">
        <v>0.0939</v>
      </c>
      <c r="H7" t="str">
        <v>Top 10</v>
      </c>
      <c r="I7" t="str">
        <v>是</v>
      </c>
      <c r="J7" t="str">
        <v>20~50%</v>
      </c>
    </row>
    <row r="8">
      <c r="A8" t="str">
        <v>香农芯创</v>
      </c>
      <c r="B8" t="str">
        <v>300475</v>
      </c>
      <c r="C8" t="str">
        <v>电子</v>
      </c>
      <c r="D8">
        <v>0.298332303891291</v>
      </c>
      <c r="E8">
        <v>1</v>
      </c>
      <c r="F8">
        <v>0.298332303891291</v>
      </c>
      <c r="G8">
        <v>0.2</v>
      </c>
      <c r="H8" t="str">
        <v>Top 10</v>
      </c>
      <c r="I8" t="str">
        <v>是</v>
      </c>
      <c r="J8" t="str">
        <v>20~50%</v>
      </c>
    </row>
    <row r="9">
      <c r="A9" t="str">
        <v>新风光</v>
      </c>
      <c r="B9" t="str">
        <v>688663</v>
      </c>
      <c r="C9" t="str">
        <v>电力设备</v>
      </c>
      <c r="D9">
        <v>0.283328492593668</v>
      </c>
      <c r="E9">
        <v>9</v>
      </c>
      <c r="F9">
        <v>0.03148094362151867</v>
      </c>
      <c r="G9">
        <v>0.1596</v>
      </c>
      <c r="H9" t="str">
        <v>Top 10</v>
      </c>
      <c r="I9" t="str">
        <v>是</v>
      </c>
      <c r="J9" t="str">
        <v>20~50%</v>
      </c>
    </row>
    <row r="10">
      <c r="A10" t="str">
        <v>力量钻石</v>
      </c>
      <c r="B10" t="str">
        <v>301071</v>
      </c>
      <c r="C10" t="str">
        <v>新材料</v>
      </c>
      <c r="D10">
        <v>0.274776785714286</v>
      </c>
      <c r="E10">
        <v>21</v>
      </c>
      <c r="F10">
        <v>0.01308460884353743</v>
      </c>
      <c r="G10">
        <v>0.094</v>
      </c>
      <c r="H10" t="str">
        <v>Top 10</v>
      </c>
      <c r="I10" t="str">
        <v>是</v>
      </c>
      <c r="J10" t="str">
        <v>20~50%</v>
      </c>
    </row>
    <row r="11">
      <c r="A11" t="str">
        <v>新锐股份</v>
      </c>
      <c r="B11" t="str">
        <v>688257</v>
      </c>
      <c r="C11" t="str">
        <v>机械设备</v>
      </c>
      <c r="D11">
        <v>0.267054908485857</v>
      </c>
      <c r="E11">
        <v>2</v>
      </c>
      <c r="F11">
        <v>0.1335274542429285</v>
      </c>
      <c r="G11">
        <v>0.1497</v>
      </c>
      <c r="H11" t="str">
        <v>Top 10</v>
      </c>
      <c r="I11" t="str">
        <v>是</v>
      </c>
      <c r="J11" t="str">
        <v>20~50%</v>
      </c>
    </row>
    <row r="12">
      <c r="A12" t="str">
        <v>协创数据</v>
      </c>
      <c r="B12" t="str">
        <v>300857</v>
      </c>
      <c r="C12" t="str">
        <v>电子</v>
      </c>
      <c r="D12">
        <v>0.199825043739065</v>
      </c>
      <c r="E12">
        <v>1</v>
      </c>
      <c r="F12">
        <v>0.199825043739065</v>
      </c>
      <c r="G12">
        <v>0.2</v>
      </c>
      <c r="I12" t="str">
        <v>是</v>
      </c>
      <c r="J12" t="str">
        <v>10~20%</v>
      </c>
    </row>
    <row r="13">
      <c r="A13" t="str">
        <v>华锐精密</v>
      </c>
      <c r="B13" t="str">
        <v>688059</v>
      </c>
      <c r="C13" t="str">
        <v>机械设备</v>
      </c>
      <c r="D13">
        <v>0.194661458333333</v>
      </c>
      <c r="E13">
        <v>43</v>
      </c>
      <c r="F13">
        <v>0.004527010658914721</v>
      </c>
      <c r="G13">
        <v>0.1724</v>
      </c>
      <c r="J13" t="str">
        <v>10~20%</v>
      </c>
    </row>
    <row r="14">
      <c r="A14" t="str">
        <v>四方达</v>
      </c>
      <c r="B14" t="str">
        <v>300179</v>
      </c>
      <c r="C14" t="str">
        <v>新材料</v>
      </c>
      <c r="D14">
        <v>0.168094655242758</v>
      </c>
      <c r="E14">
        <v>21</v>
      </c>
      <c r="F14">
        <v>0.008004507392512286</v>
      </c>
      <c r="G14">
        <v>0.0747</v>
      </c>
      <c r="J14" t="str">
        <v>10~20%</v>
      </c>
    </row>
    <row r="15">
      <c r="A15" t="str">
        <v>伊戈尔</v>
      </c>
      <c r="B15" t="str">
        <v>002922</v>
      </c>
      <c r="C15" t="str">
        <v>电力设备</v>
      </c>
      <c r="D15">
        <v>0.161425061425061</v>
      </c>
      <c r="E15">
        <v>12</v>
      </c>
      <c r="F15">
        <v>0.01345208845208842</v>
      </c>
      <c r="G15">
        <v>0.1</v>
      </c>
      <c r="J15" t="str">
        <v>10~20%</v>
      </c>
    </row>
    <row r="16">
      <c r="A16" t="str">
        <v>新相微</v>
      </c>
      <c r="B16" t="str">
        <v>688593</v>
      </c>
      <c r="C16" t="str">
        <v>电子</v>
      </c>
      <c r="D16">
        <v>0.137891737891738</v>
      </c>
      <c r="E16">
        <v>41</v>
      </c>
      <c r="F16">
        <v>0.003363213119310683</v>
      </c>
      <c r="G16">
        <v>0.1631</v>
      </c>
      <c r="J16" t="str">
        <v>10~20%</v>
      </c>
    </row>
    <row r="17">
      <c r="A17" t="str">
        <v>国瓷材料</v>
      </c>
      <c r="B17" t="str">
        <v>300285</v>
      </c>
      <c r="C17" t="str">
        <v>新材料</v>
      </c>
      <c r="D17">
        <v>0.109899569583931</v>
      </c>
      <c r="E17">
        <v>10</v>
      </c>
      <c r="F17">
        <v>0.0109899569583931</v>
      </c>
      <c r="G17">
        <v>0.1107</v>
      </c>
      <c r="J17" t="str">
        <v>10~20%</v>
      </c>
    </row>
    <row r="18">
      <c r="A18" t="str">
        <v>华灿光电</v>
      </c>
      <c r="B18" t="str">
        <v>300323</v>
      </c>
      <c r="C18" t="str">
        <v>电子</v>
      </c>
      <c r="D18">
        <v>0.107732406602954</v>
      </c>
      <c r="E18">
        <v>1</v>
      </c>
      <c r="F18">
        <v>0.107732406602954</v>
      </c>
      <c r="G18">
        <v>0.1649</v>
      </c>
      <c r="J18" t="str">
        <v>10~20%</v>
      </c>
    </row>
    <row r="19">
      <c r="A19" t="str">
        <v>科华数据</v>
      </c>
      <c r="B19" t="str">
        <v>002335</v>
      </c>
      <c r="C19" t="str">
        <v>电力设备</v>
      </c>
      <c r="D19">
        <v>0.0948419301164725</v>
      </c>
      <c r="E19">
        <v>18</v>
      </c>
      <c r="F19">
        <v>0.005268996117581806</v>
      </c>
      <c r="G19">
        <v>0.1</v>
      </c>
      <c r="H19" t="str">
        <v>Bottom 10</v>
      </c>
      <c r="I19" t="str">
        <v>是</v>
      </c>
      <c r="J19" t="str">
        <v>0~10%</v>
      </c>
    </row>
    <row r="20">
      <c r="A20" t="str">
        <v>兆驰股份</v>
      </c>
      <c r="B20" t="str">
        <v>002429</v>
      </c>
      <c r="C20" t="str">
        <v>家用电器/电子</v>
      </c>
      <c r="D20">
        <v>0.0747330960854092</v>
      </c>
      <c r="E20">
        <v>6</v>
      </c>
      <c r="F20">
        <v>0.01245551601423487</v>
      </c>
      <c r="G20">
        <v>0.1005</v>
      </c>
      <c r="J20" t="str">
        <v>0~10%</v>
      </c>
    </row>
    <row r="21">
      <c r="A21" t="str">
        <v>永太科技</v>
      </c>
      <c r="B21" t="str">
        <v>002326</v>
      </c>
      <c r="C21" t="str">
        <v>基础化工</v>
      </c>
      <c r="D21">
        <v>0.060553633217993</v>
      </c>
      <c r="E21">
        <v>12</v>
      </c>
      <c r="F21">
        <v>0.005046136101499417</v>
      </c>
      <c r="G21">
        <v>0.0623</v>
      </c>
      <c r="J21" t="str">
        <v>0~10%</v>
      </c>
    </row>
    <row r="22">
      <c r="A22" t="str">
        <v>法拉电子</v>
      </c>
      <c r="B22" t="str">
        <v>600563</v>
      </c>
      <c r="C22" t="str">
        <v>电子</v>
      </c>
      <c r="D22">
        <v>0.043109243697479</v>
      </c>
      <c r="E22">
        <v>5</v>
      </c>
      <c r="F22">
        <v>0.0086218487394958</v>
      </c>
      <c r="G22">
        <v>0.0823</v>
      </c>
      <c r="J22" t="str">
        <v>0~10%</v>
      </c>
    </row>
    <row r="23">
      <c r="A23" t="str">
        <v>鼎胜新材</v>
      </c>
      <c r="B23" t="str">
        <v>603876</v>
      </c>
      <c r="C23" t="str">
        <v>有色金属</v>
      </c>
      <c r="D23">
        <v>0.0338345864661654</v>
      </c>
      <c r="E23">
        <v>3</v>
      </c>
      <c r="F23">
        <v>0.0112781954887218</v>
      </c>
      <c r="G23">
        <v>0.1</v>
      </c>
      <c r="J23" t="str">
        <v>0~10%</v>
      </c>
    </row>
    <row r="24">
      <c r="A24" t="str">
        <v>浙江荣泰</v>
      </c>
      <c r="B24" t="str">
        <v>603119</v>
      </c>
      <c r="C24" t="str">
        <v>汽车</v>
      </c>
      <c r="D24">
        <v>0.0268603007325537</v>
      </c>
      <c r="E24">
        <v>5</v>
      </c>
      <c r="F24">
        <v>0.00537206014651074</v>
      </c>
      <c r="G24">
        <v>0.1</v>
      </c>
      <c r="J24" t="str">
        <v>0~10%</v>
      </c>
    </row>
    <row r="25">
      <c r="A25" t="str">
        <v>容百科技</v>
      </c>
      <c r="B25" t="str">
        <v>688005</v>
      </c>
      <c r="C25" t="str">
        <v>电力设备</v>
      </c>
      <c r="D25">
        <v>0.0177842565597667</v>
      </c>
      <c r="E25">
        <v>11</v>
      </c>
      <c r="F25">
        <v>0.001616750596342427</v>
      </c>
      <c r="G25">
        <v>0.0959</v>
      </c>
      <c r="J25" t="str">
        <v>0~10%</v>
      </c>
    </row>
    <row r="26">
      <c r="A26" t="str">
        <v>优刻得</v>
      </c>
      <c r="B26" t="str">
        <v>688158</v>
      </c>
      <c r="C26" t="str">
        <v>计算机</v>
      </c>
      <c r="D26">
        <v>0.0167662362690306</v>
      </c>
      <c r="E26">
        <v>22</v>
      </c>
      <c r="F26">
        <v>0.0007621016485923</v>
      </c>
      <c r="G26">
        <v>0.1395</v>
      </c>
      <c r="J26" t="str">
        <v>0~10%</v>
      </c>
    </row>
    <row r="27">
      <c r="A27" t="str">
        <v>达利凯普</v>
      </c>
      <c r="B27" t="str">
        <v>301566</v>
      </c>
      <c r="C27" t="str">
        <v>电子</v>
      </c>
      <c r="D27">
        <v>0.00708661417322834</v>
      </c>
      <c r="E27">
        <v>30</v>
      </c>
      <c r="F27">
        <v>0.0002362204724409447</v>
      </c>
      <c r="G27">
        <v>0.0735</v>
      </c>
      <c r="J27" t="str">
        <v>0~10%</v>
      </c>
    </row>
    <row r="28">
      <c r="A28" t="str">
        <v>瑞芯微</v>
      </c>
      <c r="B28" t="str">
        <v>603893</v>
      </c>
      <c r="C28" t="str">
        <v>电子</v>
      </c>
      <c r="D28">
        <v>0.00700778642936591</v>
      </c>
      <c r="E28">
        <v>22</v>
      </c>
      <c r="F28">
        <v>0.0003185357467893596</v>
      </c>
      <c r="G28">
        <v>0.0803</v>
      </c>
      <c r="J28" t="str">
        <v>0~10%</v>
      </c>
    </row>
    <row r="29">
      <c r="A29" t="str">
        <v>风华高科</v>
      </c>
      <c r="B29" t="str">
        <v>000636</v>
      </c>
      <c r="C29" t="str">
        <v>电子</v>
      </c>
      <c r="D29">
        <v>0.00439297124600637</v>
      </c>
      <c r="E29">
        <v>1</v>
      </c>
      <c r="F29">
        <v>0.00439297124600637</v>
      </c>
      <c r="G29">
        <v>0.1</v>
      </c>
      <c r="J29" t="str">
        <v>0~10%</v>
      </c>
    </row>
    <row r="30">
      <c r="A30" t="str">
        <v>中国铝业</v>
      </c>
      <c r="B30" t="str">
        <v>601600</v>
      </c>
      <c r="C30" t="str">
        <v>有色金属</v>
      </c>
      <c r="D30">
        <v>-0.0464135021097046</v>
      </c>
      <c r="E30">
        <v>21</v>
      </c>
      <c r="F30">
        <v>-0.002210166767128791</v>
      </c>
      <c r="G30">
        <v>0.101</v>
      </c>
      <c r="J30" t="str">
        <v>-10~0%</v>
      </c>
    </row>
    <row r="31">
      <c r="A31" t="str">
        <v>顺网科技</v>
      </c>
      <c r="B31" t="str">
        <v>300113</v>
      </c>
      <c r="C31" t="str">
        <v>传媒</v>
      </c>
      <c r="D31">
        <v>-0.0634715025906735</v>
      </c>
      <c r="E31">
        <v>22</v>
      </c>
      <c r="F31">
        <v>-0.002885068299576068</v>
      </c>
      <c r="G31">
        <v>0.1323</v>
      </c>
      <c r="J31" t="str">
        <v>-10~0%</v>
      </c>
    </row>
    <row r="32">
      <c r="A32" t="str">
        <v>神火股份</v>
      </c>
      <c r="B32" t="str">
        <v>000933</v>
      </c>
      <c r="C32" t="str">
        <v>有色金属</v>
      </c>
      <c r="D32">
        <v>-0.0749844430616055</v>
      </c>
      <c r="E32">
        <v>21</v>
      </c>
      <c r="F32">
        <v>-0.003570687764838357</v>
      </c>
      <c r="G32">
        <v>0.0624</v>
      </c>
      <c r="J32" t="str">
        <v>-10~0%</v>
      </c>
    </row>
    <row r="33">
      <c r="A33" t="str">
        <v>华鲁恒升</v>
      </c>
      <c r="B33" t="str">
        <v>600426</v>
      </c>
      <c r="C33" t="str">
        <v>基础化工</v>
      </c>
      <c r="D33">
        <v>-0.0809160305343511</v>
      </c>
      <c r="E33">
        <v>23</v>
      </c>
      <c r="F33">
        <v>-0.003518088284102222</v>
      </c>
      <c r="G33">
        <v>0.0943</v>
      </c>
      <c r="J33" t="str">
        <v>-10~0%</v>
      </c>
    </row>
    <row r="34">
      <c r="A34" t="str">
        <v>中科创达</v>
      </c>
      <c r="B34" t="str">
        <v>300496</v>
      </c>
      <c r="C34" t="str">
        <v>计算机</v>
      </c>
      <c r="D34">
        <v>-0.0816666666666666</v>
      </c>
      <c r="E34">
        <v>22</v>
      </c>
      <c r="F34">
        <v>-0.003712121212121209</v>
      </c>
      <c r="G34">
        <v>0.0804</v>
      </c>
      <c r="J34" t="str">
        <v>-10~0%</v>
      </c>
    </row>
    <row r="35">
      <c r="A35" t="str">
        <v>海博思创</v>
      </c>
      <c r="B35" t="str">
        <v>688411</v>
      </c>
      <c r="C35" t="str">
        <v>电力设备</v>
      </c>
      <c r="D35">
        <v>-0.09962686567164175</v>
      </c>
      <c r="E35">
        <v>3</v>
      </c>
      <c r="F35">
        <v>-0.03320895522388059</v>
      </c>
      <c r="G35">
        <v>0.0823</v>
      </c>
      <c r="I35" t="str">
        <v>是</v>
      </c>
      <c r="J35" t="str">
        <v>-10~0%</v>
      </c>
    </row>
    <row r="36">
      <c r="A36" t="str">
        <v>拓维信息</v>
      </c>
      <c r="B36" t="str">
        <v>002261</v>
      </c>
      <c r="C36" t="str">
        <v>计算机</v>
      </c>
      <c r="D36">
        <v>-0.104389086595492</v>
      </c>
      <c r="E36">
        <v>22</v>
      </c>
      <c r="F36">
        <v>-0.004744958481613272</v>
      </c>
      <c r="G36">
        <v>0.0707</v>
      </c>
      <c r="J36" t="str">
        <v>-20~-10%</v>
      </c>
    </row>
    <row r="37">
      <c r="A37" t="str">
        <v>乾照光电</v>
      </c>
      <c r="B37" t="str">
        <v>300102</v>
      </c>
      <c r="C37" t="str">
        <v>电子</v>
      </c>
      <c r="D37">
        <v>-0.111647727272727</v>
      </c>
      <c r="E37">
        <v>31</v>
      </c>
      <c r="F37">
        <v>-0.003601539589442806</v>
      </c>
      <c r="G37">
        <v>0.0793</v>
      </c>
      <c r="J37" t="str">
        <v>-20~-10%</v>
      </c>
    </row>
    <row r="38">
      <c r="A38" t="str">
        <v>万兴科技</v>
      </c>
      <c r="B38" t="str">
        <v>300624</v>
      </c>
      <c r="C38" t="str">
        <v>计算机</v>
      </c>
      <c r="D38">
        <v>-0.112093660480757</v>
      </c>
      <c r="E38">
        <v>21</v>
      </c>
      <c r="F38">
        <v>-0.005337793356226524</v>
      </c>
      <c r="G38">
        <v>0.0985</v>
      </c>
      <c r="J38" t="str">
        <v>-20~-10%</v>
      </c>
    </row>
    <row r="39">
      <c r="A39" t="str">
        <v>安光电</v>
      </c>
      <c r="B39" t="str">
        <v>600703</v>
      </c>
      <c r="C39" t="str">
        <v>电子</v>
      </c>
      <c r="D39">
        <v>-0.113583138173302</v>
      </c>
      <c r="E39">
        <v>33</v>
      </c>
      <c r="F39">
        <v>-0.003441913277978848</v>
      </c>
      <c r="G39">
        <v>0.1001</v>
      </c>
      <c r="J39" t="str">
        <v>-20~-10%</v>
      </c>
    </row>
    <row r="40">
      <c r="A40" t="str">
        <v>舒泰神</v>
      </c>
      <c r="B40" t="str">
        <v>300204</v>
      </c>
      <c r="C40" t="str">
        <v>医药生物</v>
      </c>
      <c r="D40">
        <v>-0.114295234921693</v>
      </c>
      <c r="E40">
        <v>13</v>
      </c>
      <c r="F40">
        <v>-0.008791941147822538</v>
      </c>
      <c r="G40">
        <v>0.0427</v>
      </c>
      <c r="J40" t="str">
        <v>-20~-10%</v>
      </c>
    </row>
    <row r="41">
      <c r="A41" t="str">
        <v>欣旺达</v>
      </c>
      <c r="B41" t="str">
        <v>300207</v>
      </c>
      <c r="C41" t="str">
        <v>电力设备</v>
      </c>
      <c r="D41">
        <v>-0.118825561312608</v>
      </c>
      <c r="E41">
        <v>12</v>
      </c>
      <c r="F41">
        <v>-0.009902130109384</v>
      </c>
      <c r="G41">
        <v>0.0491</v>
      </c>
      <c r="J41" t="str">
        <v>-20~-10%</v>
      </c>
    </row>
    <row r="42">
      <c r="A42" t="str">
        <v>金杯电工</v>
      </c>
      <c r="B42" t="str">
        <v>002533</v>
      </c>
      <c r="C42" t="str">
        <v>电力设备</v>
      </c>
      <c r="D42">
        <v>-0.119242902208202</v>
      </c>
      <c r="E42">
        <v>10</v>
      </c>
      <c r="F42">
        <v>-0.0119242902208202</v>
      </c>
      <c r="G42">
        <v>0.0503</v>
      </c>
      <c r="J42" t="str">
        <v>-20~-10%</v>
      </c>
    </row>
    <row r="43">
      <c r="A43" t="str">
        <v>湖北宜化</v>
      </c>
      <c r="B43" t="str">
        <v>000422</v>
      </c>
      <c r="C43" t="str">
        <v>基础化工</v>
      </c>
      <c r="D43">
        <v>-0.119321291735085</v>
      </c>
      <c r="E43">
        <v>13</v>
      </c>
      <c r="F43">
        <v>-0.009178560902698847</v>
      </c>
      <c r="G43">
        <v>0.0784</v>
      </c>
      <c r="J43" t="str">
        <v>-20~-10%</v>
      </c>
    </row>
    <row r="44">
      <c r="A44" t="str">
        <v>江河集团</v>
      </c>
      <c r="B44" t="str">
        <v>601886</v>
      </c>
      <c r="C44" t="str">
        <v>建筑装饰</v>
      </c>
      <c r="D44">
        <v>-0.125</v>
      </c>
      <c r="E44">
        <v>10</v>
      </c>
      <c r="F44">
        <v>-0.0125</v>
      </c>
      <c r="G44">
        <v>0.0227</v>
      </c>
      <c r="J44" t="str">
        <v>-20~-10%</v>
      </c>
    </row>
    <row r="45">
      <c r="A45" t="str">
        <v>华明装备</v>
      </c>
      <c r="B45" t="str">
        <v>002270</v>
      </c>
      <c r="C45" t="str">
        <v>电力设备</v>
      </c>
      <c r="D45">
        <v>-0.131826741996234</v>
      </c>
      <c r="E45">
        <v>20</v>
      </c>
      <c r="F45">
        <v>-0.006591337099811701</v>
      </c>
      <c r="G45">
        <v>0.0423</v>
      </c>
      <c r="H45" t="str">
        <v>Bottom 10</v>
      </c>
      <c r="I45" t="str">
        <v>是</v>
      </c>
      <c r="J45" t="str">
        <v>-20~-10%</v>
      </c>
    </row>
    <row r="46">
      <c r="A46" t="str">
        <v>永福股份</v>
      </c>
      <c r="B46" t="str">
        <v>300712</v>
      </c>
      <c r="C46" t="str">
        <v>建筑工程/电力设备</v>
      </c>
      <c r="D46">
        <v>-0.15779702970297</v>
      </c>
      <c r="E46">
        <v>9</v>
      </c>
      <c r="F46">
        <v>-0.01753300330033</v>
      </c>
      <c r="G46">
        <v>0.0534</v>
      </c>
      <c r="H46" t="str">
        <v>Bottom 10</v>
      </c>
      <c r="I46" t="str">
        <v>是</v>
      </c>
      <c r="J46" t="str">
        <v>-20~-10%</v>
      </c>
    </row>
    <row r="47">
      <c r="A47" t="str">
        <v>美湖股份</v>
      </c>
      <c r="B47" t="str">
        <v>603319</v>
      </c>
      <c r="C47" t="str">
        <v>汽车</v>
      </c>
      <c r="D47">
        <v>-0.161536437779532</v>
      </c>
      <c r="E47">
        <v>20</v>
      </c>
      <c r="F47">
        <v>-0.0080768218889766</v>
      </c>
      <c r="G47">
        <v>0.0881</v>
      </c>
      <c r="H47" t="str">
        <v>Bottom 10</v>
      </c>
      <c r="I47" t="str">
        <v>是</v>
      </c>
      <c r="J47" t="str">
        <v>-20~-10%</v>
      </c>
    </row>
    <row r="48">
      <c r="A48" t="str">
        <v>森特股份</v>
      </c>
      <c r="B48" t="str">
        <v>603098</v>
      </c>
      <c r="C48" t="str">
        <v>建筑装饰</v>
      </c>
      <c r="D48">
        <v>-0.170491803278689</v>
      </c>
      <c r="E48">
        <v>4</v>
      </c>
      <c r="F48">
        <v>-0.04262295081967225</v>
      </c>
      <c r="G48">
        <v>0.018</v>
      </c>
      <c r="H48" t="str">
        <v>Bottom 10</v>
      </c>
      <c r="I48" t="str">
        <v>是</v>
      </c>
      <c r="J48" t="str">
        <v>-20~-10%</v>
      </c>
    </row>
    <row r="49">
      <c r="A49" t="str">
        <v>利亚德</v>
      </c>
      <c r="B49" t="str">
        <v>300296</v>
      </c>
      <c r="C49" t="str">
        <v>电子</v>
      </c>
      <c r="D49">
        <v>-0.236658932714617</v>
      </c>
      <c r="E49">
        <v>23</v>
      </c>
      <c r="F49">
        <v>-0.010289518813679</v>
      </c>
      <c r="G49">
        <v>0.0812</v>
      </c>
      <c r="H49" t="str">
        <v>Bottom 10</v>
      </c>
      <c r="I49" t="str">
        <v>是</v>
      </c>
      <c r="J49" t="str">
        <v>-30~-20%</v>
      </c>
    </row>
    <row r="50">
      <c r="A50" t="str">
        <v>三生国健</v>
      </c>
      <c r="B50" t="str">
        <v>688336</v>
      </c>
      <c r="C50" t="str">
        <v>医药生物</v>
      </c>
      <c r="D50">
        <v>-0.259708454810496</v>
      </c>
      <c r="E50">
        <v>16</v>
      </c>
      <c r="F50">
        <v>-0.016231778425656</v>
      </c>
      <c r="G50">
        <v>0.028</v>
      </c>
      <c r="H50" t="str">
        <v>Bottom 10</v>
      </c>
      <c r="I50" t="str">
        <v>是</v>
      </c>
      <c r="J50" t="str">
        <v>-30~-20%</v>
      </c>
    </row>
    <row r="51">
      <c r="A51" t="str">
        <v>湖南裕能</v>
      </c>
      <c r="B51" t="str">
        <v>301358</v>
      </c>
      <c r="C51" t="str">
        <v>电力设备</v>
      </c>
      <c r="D51">
        <v>-0.2735232067510548</v>
      </c>
      <c r="E51">
        <v>7</v>
      </c>
      <c r="F51">
        <v>-0.03907474382157926</v>
      </c>
      <c r="G51">
        <v>0.0156</v>
      </c>
      <c r="H51" t="str">
        <v>Bottom 10</v>
      </c>
      <c r="I51" t="str">
        <v>是</v>
      </c>
      <c r="J51" t="str">
        <v>-30~-20%</v>
      </c>
    </row>
    <row r="52">
      <c r="A52" t="str">
        <v>首都在线</v>
      </c>
      <c r="B52" t="str">
        <v>300846</v>
      </c>
      <c r="C52" t="str">
        <v>计算机</v>
      </c>
      <c r="D52">
        <v>-0.3339700732250875</v>
      </c>
      <c r="E52">
        <v>2</v>
      </c>
      <c r="F52">
        <v>-0.1669850366125437</v>
      </c>
      <c r="G52">
        <v>0.0432</v>
      </c>
      <c r="H52" t="str">
        <v>Bottom 10</v>
      </c>
      <c r="I52" t="str">
        <v>是</v>
      </c>
      <c r="J52" t="str">
        <v>&lt;-30%</v>
      </c>
    </row>
    <row r="53">
      <c r="A53" t="str">
        <v>北信源</v>
      </c>
      <c r="B53" t="str">
        <v>300352</v>
      </c>
      <c r="C53" t="str">
        <v>计算机</v>
      </c>
      <c r="D53">
        <v>-0.397905759162304</v>
      </c>
      <c r="E53">
        <v>28</v>
      </c>
      <c r="F53">
        <v>-0.01421091997008228</v>
      </c>
      <c r="G53">
        <v>0.1141</v>
      </c>
      <c r="H53" t="str">
        <v>Bottom 10</v>
      </c>
      <c r="I53" t="str">
        <v>是</v>
      </c>
      <c r="J53" t="str">
        <v>&lt;-30%</v>
      </c>
    </row>
    <row r="54">
      <c r="A54" t="str">
        <v>科华数据</v>
      </c>
      <c r="B54" t="str">
        <v>002335</v>
      </c>
      <c r="C54" t="str">
        <v>电力设备</v>
      </c>
      <c r="D54">
        <v>-0.472089552238806</v>
      </c>
      <c r="E54">
        <v>12</v>
      </c>
      <c r="F54">
        <v>-0.0393407960199005</v>
      </c>
      <c r="G54">
        <v>0.071</v>
      </c>
      <c r="H54" t="str">
        <v>Bottom 10</v>
      </c>
      <c r="I54" t="str">
        <v>是</v>
      </c>
      <c r="J54" t="str">
        <v>&lt;-30%</v>
      </c>
    </row>
  </sheetData>
  <autoFilter ref="A1:J54"/>
  <pageMargins left="0.75" right="0.75" top="1" bottom="1" header="0.5" footer="0.5"/>
  <ignoredErrors>
    <ignoredError numberStoredAsText="1" sqref="A1:J54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J14"/>
  <sheetViews>
    <sheetView workbookViewId="0" rightToLeft="0"/>
  </sheetViews>
  <sheetData>
    <row r="1">
      <c r="A1" t="str">
        <v>行业大类</v>
      </c>
      <c r="B1" t="str">
        <v>股票数量</v>
      </c>
      <c r="C1" t="str">
        <v>平均区间涨跌幅</v>
      </c>
      <c r="D1" t="str">
        <v>中位数区间涨跌幅</v>
      </c>
      <c r="E1" t="str">
        <v>正收益数量</v>
      </c>
      <c r="F1" t="str">
        <v>正收益占比</v>
      </c>
      <c r="G1" t="str">
        <v>最高区间涨跌幅</v>
      </c>
      <c r="H1" t="str">
        <v>最低区间涨跌幅</v>
      </c>
      <c r="I1" t="str">
        <v>行业弹性</v>
      </c>
      <c r="J1" t="str">
        <v>样本备注</v>
      </c>
    </row>
    <row r="2">
      <c r="A2" t="str">
        <v>机械设备</v>
      </c>
      <c r="B2">
        <v>2</v>
      </c>
      <c r="C2">
        <v>0.230858183409595</v>
      </c>
      <c r="D2">
        <v>0.230858183409595</v>
      </c>
      <c r="E2">
        <v>2</v>
      </c>
      <c r="F2">
        <v>1</v>
      </c>
      <c r="G2">
        <v>0.267054908485857</v>
      </c>
      <c r="H2">
        <v>0.194661458333333</v>
      </c>
      <c r="I2">
        <v>0.07239345015252399</v>
      </c>
      <c r="J2" t="str">
        <v>样本较少，仅供参考</v>
      </c>
    </row>
    <row r="3">
      <c r="A3" t="str">
        <v>新材料</v>
      </c>
      <c r="B3">
        <v>3</v>
      </c>
      <c r="C3">
        <v>0.1842570035136583</v>
      </c>
      <c r="D3">
        <v>0.168094655242758</v>
      </c>
      <c r="E3">
        <v>3</v>
      </c>
      <c r="F3">
        <v>1</v>
      </c>
      <c r="G3">
        <v>0.274776785714286</v>
      </c>
      <c r="H3">
        <v>0.109899569583931</v>
      </c>
      <c r="I3">
        <v>0.164877216130355</v>
      </c>
    </row>
    <row r="4">
      <c r="A4" t="str">
        <v>有色金属</v>
      </c>
      <c r="B4">
        <v>4</v>
      </c>
      <c r="C4">
        <v>0.1770567644437318</v>
      </c>
      <c r="D4">
        <v>-0.006289457821769602</v>
      </c>
      <c r="E4">
        <v>2</v>
      </c>
      <c r="F4">
        <v>0.5</v>
      </c>
      <c r="G4">
        <v>0.795790416480072</v>
      </c>
      <c r="H4">
        <v>-0.0749844430616055</v>
      </c>
      <c r="I4">
        <v>0.8707748595416774</v>
      </c>
    </row>
    <row r="5">
      <c r="A5" t="str">
        <v>电子</v>
      </c>
      <c r="B5">
        <v>13</v>
      </c>
      <c r="C5">
        <v>0.1241970051633129</v>
      </c>
      <c r="D5">
        <v>0.043109243697479</v>
      </c>
      <c r="E5">
        <v>10</v>
      </c>
      <c r="F5">
        <v>0.7692307692307693</v>
      </c>
      <c r="G5">
        <v>0.760236844299892</v>
      </c>
      <c r="H5">
        <v>-0.236658932714617</v>
      </c>
      <c r="I5">
        <v>0.996895777014509</v>
      </c>
    </row>
    <row r="6">
      <c r="A6" t="str">
        <v>家用电器/电子</v>
      </c>
      <c r="B6">
        <v>1</v>
      </c>
      <c r="C6">
        <v>0.0747330960854092</v>
      </c>
      <c r="D6">
        <v>0.0747330960854092</v>
      </c>
      <c r="E6">
        <v>1</v>
      </c>
      <c r="F6">
        <v>1</v>
      </c>
      <c r="G6">
        <v>0.0747330960854092</v>
      </c>
      <c r="H6">
        <v>0.0747330960854092</v>
      </c>
      <c r="I6">
        <v>0</v>
      </c>
      <c r="J6" t="str">
        <v>样本较少，仅供参考</v>
      </c>
    </row>
    <row r="7">
      <c r="A7" t="str">
        <v>电力设备</v>
      </c>
      <c r="B7">
        <v>12</v>
      </c>
      <c r="C7">
        <v>0.001241681152417221</v>
      </c>
      <c r="D7">
        <v>-0.04092130455593752</v>
      </c>
      <c r="E7">
        <v>6</v>
      </c>
      <c r="F7">
        <v>0.5</v>
      </c>
      <c r="G7">
        <v>0.342991913746631</v>
      </c>
      <c r="H7">
        <v>-0.472089552238806</v>
      </c>
      <c r="I7">
        <v>0.8150814659854371</v>
      </c>
    </row>
    <row r="8">
      <c r="A8" t="str">
        <v>基础化工</v>
      </c>
      <c r="B8">
        <v>3</v>
      </c>
      <c r="C8">
        <v>-0.04656122968381437</v>
      </c>
      <c r="D8">
        <v>-0.0809160305343511</v>
      </c>
      <c r="E8">
        <v>1</v>
      </c>
      <c r="F8">
        <v>0.3333333333333333</v>
      </c>
      <c r="G8">
        <v>0.060553633217993</v>
      </c>
      <c r="H8">
        <v>-0.119321291735085</v>
      </c>
      <c r="I8">
        <v>0.179874924953078</v>
      </c>
    </row>
    <row r="9">
      <c r="A9" t="str">
        <v>传媒</v>
      </c>
      <c r="B9">
        <v>1</v>
      </c>
      <c r="C9">
        <v>-0.0634715025906735</v>
      </c>
      <c r="D9">
        <v>-0.0634715025906735</v>
      </c>
      <c r="E9">
        <v>0</v>
      </c>
      <c r="F9">
        <v>0</v>
      </c>
      <c r="G9">
        <v>-0.0634715025906735</v>
      </c>
      <c r="H9">
        <v>-0.0634715025906735</v>
      </c>
      <c r="I9">
        <v>0</v>
      </c>
      <c r="J9" t="str">
        <v>样本较少，仅供参考</v>
      </c>
    </row>
    <row r="10">
      <c r="A10" t="str">
        <v>汽车</v>
      </c>
      <c r="B10">
        <v>2</v>
      </c>
      <c r="C10">
        <v>-0.06733806852348916</v>
      </c>
      <c r="D10">
        <v>-0.06733806852348916</v>
      </c>
      <c r="E10">
        <v>1</v>
      </c>
      <c r="F10">
        <v>0.5</v>
      </c>
      <c r="G10">
        <v>0.0268603007325537</v>
      </c>
      <c r="H10">
        <v>-0.161536437779532</v>
      </c>
      <c r="I10">
        <v>0.1883967385120857</v>
      </c>
      <c r="J10" t="str">
        <v>样本较少，仅供参考</v>
      </c>
    </row>
    <row r="11">
      <c r="A11" t="str">
        <v>计算机</v>
      </c>
      <c r="B11">
        <v>7</v>
      </c>
      <c r="C11">
        <v>-0.06812265455636907</v>
      </c>
      <c r="D11">
        <v>-0.104389086595492</v>
      </c>
      <c r="E11">
        <v>2</v>
      </c>
      <c r="F11">
        <v>0.2857142857142857</v>
      </c>
      <c r="G11">
        <v>0.536400427966693</v>
      </c>
      <c r="H11">
        <v>-0.397905759162304</v>
      </c>
      <c r="I11">
        <v>0.9343061871289969</v>
      </c>
    </row>
    <row r="12">
      <c r="A12" t="str">
        <v>建筑装饰</v>
      </c>
      <c r="B12">
        <v>2</v>
      </c>
      <c r="C12">
        <v>-0.1477459016393445</v>
      </c>
      <c r="D12">
        <v>-0.1477459016393445</v>
      </c>
      <c r="E12">
        <v>0</v>
      </c>
      <c r="F12">
        <v>0</v>
      </c>
      <c r="G12">
        <v>-0.125</v>
      </c>
      <c r="H12">
        <v>-0.170491803278689</v>
      </c>
      <c r="I12">
        <v>0.04549180327868901</v>
      </c>
      <c r="J12" t="str">
        <v>样本较少，仅供参考</v>
      </c>
    </row>
    <row r="13">
      <c r="A13" t="str">
        <v>建筑工程/电力设备</v>
      </c>
      <c r="B13">
        <v>1</v>
      </c>
      <c r="C13">
        <v>-0.15779702970297</v>
      </c>
      <c r="D13">
        <v>-0.15779702970297</v>
      </c>
      <c r="E13">
        <v>0</v>
      </c>
      <c r="F13">
        <v>0</v>
      </c>
      <c r="G13">
        <v>-0.15779702970297</v>
      </c>
      <c r="H13">
        <v>-0.15779702970297</v>
      </c>
      <c r="I13">
        <v>0</v>
      </c>
      <c r="J13" t="str">
        <v>样本较少，仅供参考</v>
      </c>
    </row>
    <row r="14">
      <c r="A14" t="str">
        <v>医药生物</v>
      </c>
      <c r="B14">
        <v>2</v>
      </c>
      <c r="C14">
        <v>-0.1870018448660945</v>
      </c>
      <c r="D14">
        <v>-0.1870018448660945</v>
      </c>
      <c r="E14">
        <v>0</v>
      </c>
      <c r="F14">
        <v>0</v>
      </c>
      <c r="G14">
        <v>-0.114295234921693</v>
      </c>
      <c r="H14">
        <v>-0.259708454810496</v>
      </c>
      <c r="I14">
        <v>0.145413219888803</v>
      </c>
      <c r="J14" t="str">
        <v>样本较少，仅供参考</v>
      </c>
    </row>
  </sheetData>
  <autoFilter ref="A1:J14"/>
  <pageMargins left="0.75" right="0.75" top="1" bottom="1" header="0.5" footer="0.5"/>
  <ignoredErrors>
    <ignoredError numberStoredAsText="1" sqref="A1:J14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H18"/>
  <sheetViews>
    <sheetView workbookViewId="0" rightToLeft="0"/>
  </sheetViews>
  <sheetData>
    <row r="1">
      <c r="A1" t="str">
        <v>个股推荐日期</v>
      </c>
      <c r="B1" t="str">
        <v>推荐数量</v>
      </c>
      <c r="C1" t="str">
        <v>平均区间涨跌幅</v>
      </c>
      <c r="D1" t="str">
        <v>正收益数量</v>
      </c>
      <c r="E1" t="str">
        <v>正收益占比</v>
      </c>
      <c r="F1" t="str">
        <v>批次贡献</v>
      </c>
      <c r="G1" t="str">
        <v>贡献方向</v>
      </c>
      <c r="H1" t="str">
        <v>累计贡献</v>
      </c>
    </row>
    <row r="2">
      <c r="A2">
        <v>46078</v>
      </c>
      <c r="B2">
        <v>3</v>
      </c>
      <c r="C2">
        <v>0.04045971833438857</v>
      </c>
      <c r="D2">
        <v>3</v>
      </c>
      <c r="E2">
        <v>1</v>
      </c>
      <c r="F2">
        <v>0.002290172735908787</v>
      </c>
      <c r="G2" t="str">
        <v>正贡献</v>
      </c>
      <c r="H2">
        <v>0.002290172735908787</v>
      </c>
    </row>
    <row r="3">
      <c r="A3">
        <v>46080</v>
      </c>
      <c r="B3">
        <v>3</v>
      </c>
      <c r="C3">
        <v>0.4191689277664207</v>
      </c>
      <c r="D3">
        <v>3</v>
      </c>
      <c r="E3">
        <v>1</v>
      </c>
      <c r="F3">
        <v>0.02372654308111815</v>
      </c>
      <c r="G3" t="str">
        <v>正贡献</v>
      </c>
      <c r="H3">
        <v>0.02601671581702694</v>
      </c>
    </row>
    <row r="4">
      <c r="A4">
        <v>46086</v>
      </c>
      <c r="B4">
        <v>2</v>
      </c>
      <c r="C4">
        <v>-0.1001186611347181</v>
      </c>
      <c r="D4">
        <v>0</v>
      </c>
      <c r="E4">
        <v>0</v>
      </c>
      <c r="F4">
        <v>-0.003778062684328983</v>
      </c>
      <c r="G4" t="str">
        <v>负贡献</v>
      </c>
      <c r="H4">
        <v>0.02223865313269796</v>
      </c>
    </row>
    <row r="5">
      <c r="A5">
        <v>46087</v>
      </c>
      <c r="B5">
        <v>6</v>
      </c>
      <c r="C5">
        <v>-0.02358875959675746</v>
      </c>
      <c r="D5">
        <v>3</v>
      </c>
      <c r="E5">
        <v>0.5</v>
      </c>
      <c r="F5">
        <v>-0.00267042561472726</v>
      </c>
      <c r="G5" t="str">
        <v>负贡献</v>
      </c>
      <c r="H5">
        <v>0.0195682275179707</v>
      </c>
    </row>
    <row r="6">
      <c r="A6">
        <v>46091</v>
      </c>
      <c r="B6">
        <v>7</v>
      </c>
      <c r="C6">
        <v>-0.1051075218282138</v>
      </c>
      <c r="D6">
        <v>2</v>
      </c>
      <c r="E6">
        <v>0.2857142857142857</v>
      </c>
      <c r="F6">
        <v>-0.01388212552448107</v>
      </c>
      <c r="G6" t="str">
        <v>负贡献</v>
      </c>
      <c r="H6">
        <v>0.005686101993489633</v>
      </c>
    </row>
    <row r="7">
      <c r="A7">
        <v>46093</v>
      </c>
      <c r="B7">
        <v>3</v>
      </c>
      <c r="C7">
        <v>-0.077976896071231</v>
      </c>
      <c r="D7">
        <v>1</v>
      </c>
      <c r="E7">
        <v>0.3333333333333333</v>
      </c>
      <c r="F7">
        <v>-0.004413786570069679</v>
      </c>
      <c r="G7" t="str">
        <v>负贡献</v>
      </c>
      <c r="H7">
        <v>0.001272315423419954</v>
      </c>
    </row>
    <row r="8">
      <c r="A8">
        <v>46111</v>
      </c>
      <c r="B8">
        <v>2</v>
      </c>
      <c r="C8">
        <v>0.1951084913919735</v>
      </c>
      <c r="D8">
        <v>2</v>
      </c>
      <c r="E8">
        <v>1</v>
      </c>
      <c r="F8">
        <v>0.007362584580829189</v>
      </c>
      <c r="G8" t="str">
        <v>正贡献</v>
      </c>
      <c r="H8">
        <v>0.008634900004249144</v>
      </c>
    </row>
    <row r="9">
      <c r="A9">
        <v>46120</v>
      </c>
      <c r="B9">
        <v>3</v>
      </c>
      <c r="C9">
        <v>0.5231350205012923</v>
      </c>
      <c r="D9">
        <v>3</v>
      </c>
      <c r="E9">
        <v>1</v>
      </c>
      <c r="F9">
        <v>0.02961141625479013</v>
      </c>
      <c r="G9" t="str">
        <v>正贡献</v>
      </c>
      <c r="H9">
        <v>0.03824631625903928</v>
      </c>
    </row>
    <row r="10">
      <c r="A10">
        <v>46126</v>
      </c>
      <c r="B10">
        <v>4</v>
      </c>
      <c r="C10">
        <v>0.1780604601274056</v>
      </c>
      <c r="D10">
        <v>3</v>
      </c>
      <c r="E10">
        <v>0.75</v>
      </c>
      <c r="F10">
        <v>0.01343852529263439</v>
      </c>
      <c r="G10" t="str">
        <v>正贡献</v>
      </c>
      <c r="H10">
        <v>0.05168484155167366</v>
      </c>
    </row>
    <row r="11">
      <c r="A11">
        <v>46127</v>
      </c>
      <c r="B11">
        <v>2</v>
      </c>
      <c r="C11">
        <v>0.221435720478522</v>
      </c>
      <c r="D11">
        <v>2</v>
      </c>
      <c r="E11">
        <v>1</v>
      </c>
      <c r="F11">
        <v>0.00835606492371781</v>
      </c>
      <c r="G11" t="str">
        <v>正贡献</v>
      </c>
      <c r="H11">
        <v>0.06004090647539147</v>
      </c>
    </row>
    <row r="12">
      <c r="A12">
        <v>46132</v>
      </c>
      <c r="B12">
        <v>2</v>
      </c>
      <c r="C12">
        <v>-0.1870018448660945</v>
      </c>
      <c r="D12">
        <v>0</v>
      </c>
      <c r="E12">
        <v>0</v>
      </c>
      <c r="F12">
        <v>-0.007056673391173377</v>
      </c>
      <c r="G12" t="str">
        <v>负贡献</v>
      </c>
      <c r="H12">
        <v>0.05298423308421809</v>
      </c>
    </row>
    <row r="13">
      <c r="A13">
        <v>46134</v>
      </c>
      <c r="B13">
        <v>2</v>
      </c>
      <c r="C13">
        <v>0.02580942151296605</v>
      </c>
      <c r="D13">
        <v>2</v>
      </c>
      <c r="E13">
        <v>1</v>
      </c>
      <c r="F13">
        <v>0.000973940434451549</v>
      </c>
      <c r="G13" t="str">
        <v>正贡献</v>
      </c>
      <c r="H13">
        <v>0.05395817351866964</v>
      </c>
    </row>
    <row r="14">
      <c r="A14">
        <v>46136</v>
      </c>
      <c r="B14">
        <v>4</v>
      </c>
      <c r="C14">
        <v>-0.1075419850814168</v>
      </c>
      <c r="D14">
        <v>1</v>
      </c>
      <c r="E14">
        <v>0.25</v>
      </c>
      <c r="F14">
        <v>-0.00811637623255976</v>
      </c>
      <c r="G14" t="str">
        <v>负贡献</v>
      </c>
      <c r="H14">
        <v>0.04584179728610988</v>
      </c>
    </row>
    <row r="15">
      <c r="A15">
        <v>46140</v>
      </c>
      <c r="B15">
        <v>4</v>
      </c>
      <c r="C15">
        <v>-0.02294990643562078</v>
      </c>
      <c r="D15">
        <v>1</v>
      </c>
      <c r="E15">
        <v>0.25</v>
      </c>
      <c r="F15">
        <v>-0.00173206841023553</v>
      </c>
      <c r="G15" t="str">
        <v>负贡献</v>
      </c>
      <c r="H15">
        <v>0.04410972887587435</v>
      </c>
    </row>
    <row r="16">
      <c r="A16">
        <v>46148</v>
      </c>
      <c r="B16">
        <v>2</v>
      </c>
      <c r="C16">
        <v>0.3131602031701495</v>
      </c>
      <c r="D16">
        <v>2</v>
      </c>
      <c r="E16">
        <v>1</v>
      </c>
      <c r="F16">
        <v>0.01181736615736413</v>
      </c>
      <c r="G16" t="str">
        <v>正贡献</v>
      </c>
      <c r="H16">
        <v>0.05592709503323848</v>
      </c>
    </row>
    <row r="17">
      <c r="A17">
        <v>46160</v>
      </c>
      <c r="B17">
        <v>2</v>
      </c>
      <c r="C17">
        <v>-0.4030298127319467</v>
      </c>
      <c r="D17">
        <v>0</v>
      </c>
      <c r="E17">
        <v>0</v>
      </c>
      <c r="F17">
        <v>-0.01520867217856403</v>
      </c>
      <c r="G17" t="str">
        <v>负贡献</v>
      </c>
      <c r="H17">
        <v>0.04071842285467446</v>
      </c>
    </row>
    <row r="18">
      <c r="A18">
        <v>46163</v>
      </c>
      <c r="B18">
        <v>2</v>
      </c>
      <c r="C18">
        <v>-0.1865750362113483</v>
      </c>
      <c r="D18">
        <v>0</v>
      </c>
      <c r="E18">
        <v>0</v>
      </c>
      <c r="F18">
        <v>-0.007040567404201821</v>
      </c>
      <c r="G18" t="str">
        <v>负贡献</v>
      </c>
      <c r="H18">
        <v>0.03367785545047264</v>
      </c>
    </row>
  </sheetData>
  <autoFilter ref="A1:H18"/>
  <pageMargins left="0.75" right="0.75" top="1" bottom="1" header="0.5" footer="0.5"/>
  <ignoredErrors>
    <ignoredError numberStoredAsText="1" sqref="A1:H18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1:C12"/>
  <sheetViews>
    <sheetView workbookViewId="0" rightToLeft="0"/>
  </sheetViews>
  <sheetData>
    <row r="1">
      <c r="A1" t="str">
        <v>指标</v>
      </c>
      <c r="B1" t="str">
        <v>数值</v>
      </c>
      <c r="C1" t="str">
        <v>说明</v>
      </c>
    </row>
    <row r="2">
      <c r="A2" t="str">
        <v>股票总数</v>
      </c>
      <c r="B2">
        <v>53</v>
      </c>
      <c r="C2" t="str">
        <v>Data_Master 中可计算收益的股票数量</v>
      </c>
    </row>
    <row r="3">
      <c r="A3" t="str">
        <v>平均区间涨跌幅</v>
      </c>
      <c r="B3">
        <v>0.03367785545047263</v>
      </c>
      <c r="C3" t="str">
        <v>等权平均收益</v>
      </c>
    </row>
    <row r="4">
      <c r="A4" t="str">
        <v>中位数区间涨跌幅</v>
      </c>
      <c r="B4">
        <v>0.00700778642936591</v>
      </c>
      <c r="C4" t="str">
        <v>中位表现</v>
      </c>
    </row>
    <row r="5">
      <c r="A5" t="str">
        <v>正收益股票数量</v>
      </c>
      <c r="B5">
        <v>28</v>
      </c>
      <c r="C5" t="str">
        <v>区间涨跌幅 &gt; 0</v>
      </c>
    </row>
    <row r="6">
      <c r="A6" t="str">
        <v>正收益占比</v>
      </c>
      <c r="B6">
        <v>0.5283018867924528</v>
      </c>
      <c r="C6" t="str">
        <v>正收益股票数量 / 股票总数</v>
      </c>
    </row>
    <row r="7">
      <c r="A7" t="str">
        <v>Top 10 平均收益</v>
      </c>
      <c r="B7">
        <v>0.4399411356057038</v>
      </c>
      <c r="C7" t="str">
        <v>个股收益前10名平均</v>
      </c>
    </row>
    <row r="8">
      <c r="A8" t="str">
        <v>Bottom 10 平均收益</v>
      </c>
      <c r="B8">
        <v>-0.259550799165979</v>
      </c>
      <c r="C8" t="str">
        <v>个股收益后10名平均</v>
      </c>
    </row>
    <row r="9">
      <c r="A9" t="str">
        <v>最佳个股</v>
      </c>
      <c r="B9" t="str">
        <v>云南锗业 (79.58%)</v>
      </c>
      <c r="C9" t="str">
        <v>区间涨跌幅最高</v>
      </c>
    </row>
    <row r="10">
      <c r="A10" t="str">
        <v>最弱个股</v>
      </c>
      <c r="B10" t="str">
        <v>科华数据 (-47.21%)</v>
      </c>
      <c r="C10" t="str">
        <v>区间涨跌幅最低</v>
      </c>
    </row>
    <row r="11">
      <c r="A11" t="str">
        <v>最强行业</v>
      </c>
      <c r="B11" t="str">
        <v>机械设备 (23.09%)</v>
      </c>
      <c r="C11" t="str">
        <v>行业平均收益最高</v>
      </c>
    </row>
    <row r="12">
      <c r="A12" t="str">
        <v>最弱行业</v>
      </c>
      <c r="B12" t="str">
        <v>医药生物 (-18.70%)</v>
      </c>
      <c r="C12" t="str">
        <v>行业平均收益最低</v>
      </c>
    </row>
  </sheetData>
  <autoFilter ref="A1:C12"/>
  <pageMargins left="0.75" right="0.75" top="1" bottom="1" header="0.5" footer="0.5"/>
  <ignoredErrors>
    <ignoredError numberStoredAsText="1" sqref="A1:C12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:B9"/>
  <sheetViews>
    <sheetView workbookViewId="0" rightToLeft="0"/>
  </sheetViews>
  <sheetData>
    <row r="1">
      <c r="A1" t="str">
        <v>模块</v>
      </c>
      <c r="B1" t="str">
        <v>说明</v>
      </c>
    </row>
    <row r="2">
      <c r="A2" t="str">
        <v>数据口径</v>
      </c>
      <c r="B2" t="str">
        <v>以 Clean_Data 的显示值为基础重建 Data_Master；Sheet1 原始数据另存 Raw_Backup 并隐藏。</v>
      </c>
    </row>
    <row r="3">
      <c r="A3" t="str">
        <v>Data_Master</v>
      </c>
      <c r="B3" t="str">
        <v>只保留 6 张图需要的核心字段，并新增日均收益率、正收益标识、收益分布区间。</v>
      </c>
    </row>
    <row r="4">
      <c r="A4" t="str">
        <v>Chart_Input_Individual</v>
      </c>
      <c r="B4" t="str">
        <v>支持 Top/Bottom、收益分布、收益×效率四象限图。仅关键个股建议标注，避免散点图拥挤。</v>
      </c>
    </row>
    <row r="5">
      <c r="A5" t="str">
        <v>Chart_Input_Industry</v>
      </c>
      <c r="B5" t="str">
        <v>支持行业平均收益和行业四维气泡图；n=1 或 n=2 标记为样本较少，仅供参考。</v>
      </c>
    </row>
    <row r="6">
      <c r="A6" t="str">
        <v>Chart_Input_Batch</v>
      </c>
      <c r="B6" t="str">
        <v>批次贡献 = 推荐数量 / 总股票数 × 平均区间涨跌幅；累计贡献用于瀑布图。</v>
      </c>
    </row>
    <row r="7">
      <c r="A7" t="str">
        <v>Dashboard_6Charts</v>
      </c>
      <c r="B7" t="str">
        <v>包含 6 个可复制图表/图表区：排行榜、分布、行业平均、效率四象限、批次贡献、行业气泡。</v>
      </c>
    </row>
    <row r="8">
      <c r="A8" t="str">
        <v>颜色</v>
      </c>
      <c r="B8" t="str">
        <v>红色=正收益/正贡献，绿色=负收益/负贡献，蓝色=总体或中性信息。</v>
      </c>
    </row>
    <row r="9">
      <c r="A9" t="str">
        <v>注意</v>
      </c>
      <c r="B9" t="str">
        <v>瀑布图使用内部数据构造的贡献图表；如需 Excel 365 原生 Waterfall，可用 Chart_Input_Batch 一键重插。</v>
      </c>
    </row>
  </sheetData>
  <autoFilter ref="A1:B9"/>
  <pageMargins left="0.75" right="0.75" top="1" bottom="1" header="0.5" footer="0.5"/>
  <ignoredErrors>
    <ignoredError numberStoredAsText="1" sqref="A1:B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Dashboard_6Charts</vt:lpstr>
      <vt:lpstr>Charts_Copyable</vt:lpstr>
      <vt:lpstr>Opportunity_Review</vt:lpstr>
      <vt:lpstr>Batch_Summary</vt:lpstr>
      <vt:lpstr>Industry_Summary</vt:lpstr>
      <vt:lpstr>Top_Bottom</vt:lpstr>
      <vt:lpstr>Clean_Data</vt:lpstr>
      <vt:lpstr>Sheet3</vt:lpstr>
      <vt:lpstr>假期</vt:lpstr>
      <vt:lpstr>Sheet1</vt:lpstr>
      <vt:lpstr>Charts_Advanced</vt:lpstr>
      <vt:lpstr>Raw_Backup</vt:lpstr>
      <vt:lpstr>Data_Master</vt:lpstr>
      <vt:lpstr>Chart_Input_Individual</vt:lpstr>
      <vt:lpstr>Chart_Input_Industry</vt:lpstr>
      <vt:lpstr>Chart_Input_Batch</vt:lpstr>
      <vt:lpstr>Summary_KPI</vt:lpstr>
      <vt:lpstr>Readme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2023-05-12T11:15:00Z</dcterms:created>
  <dcterms:modified xsi:type="dcterms:W3CDTF">2026-06-15T07:21:46Z</dcterms:modified>
  <cp:lastModifiedBy>Jesse Ng</cp:lastModifiedBy>
  <dc:creator>HUAWEI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2EA53BC090284BC69B70E27BE3D8077E_12</vt:lpwstr>
  </property>
  <property fmtid="{D5CDD505-2E9C-101B-9397-08002B2CF9AE}" pid="4" name="CalculationRule">
    <vt:i4>0</vt:i4>
  </property>
</Properties>
</file>