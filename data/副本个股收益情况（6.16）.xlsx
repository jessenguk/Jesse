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/>
  <mc:AlternateContent xmlns:mc="http://schemas.openxmlformats.org/markup-compatibility/2006">
    <mc:Choice Requires="x15">
      <x15ac:absPath xmlns:x15ac="http://schemas.microsoft.com/office/spreadsheetml/2010/11/ac" url="/Users/j/Desktop/"/>
    </mc:Choice>
  </mc:AlternateContent>
  <xr:revisionPtr revIDLastSave="0" documentId="13_ncr:1_{A4E9C4F0-E1C5-D14A-B257-5EF5DDE52C61}" xr6:coauthVersionLast="47" xr6:coauthVersionMax="47" xr10:uidLastSave="{00000000-0000-0000-0000-000000000000}"/>
  <bookViews>
    <workbookView xWindow="100" yWindow="980" windowWidth="30140" windowHeight="17360" xr2:uid="{00000000-000D-0000-FFFF-FFFF00000000}"/>
  </bookViews>
  <sheets>
    <sheet name="Sheet1" sheetId="1" r:id="rId1"/>
    <sheet name="假期" sheetId="2" r:id="rId2"/>
    <sheet name="Sheet3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1" l="1"/>
  <c r="H55" i="1"/>
  <c r="K54" i="1"/>
  <c r="H54" i="1"/>
  <c r="K53" i="1"/>
  <c r="H53" i="1"/>
  <c r="K52" i="1"/>
  <c r="H52" i="1"/>
  <c r="K50" i="1"/>
  <c r="H50" i="1"/>
  <c r="K49" i="1"/>
  <c r="H49" i="1"/>
  <c r="K48" i="1"/>
  <c r="H48" i="1"/>
  <c r="K47" i="1"/>
  <c r="H47" i="1"/>
  <c r="K46" i="1"/>
  <c r="H46" i="1"/>
  <c r="K45" i="1"/>
  <c r="H45" i="1"/>
  <c r="K44" i="1"/>
  <c r="J44" i="1"/>
  <c r="H44" i="1"/>
  <c r="K43" i="1"/>
  <c r="H43" i="1"/>
  <c r="K42" i="1"/>
  <c r="J42" i="1"/>
  <c r="H42" i="1"/>
  <c r="K41" i="1"/>
  <c r="J41" i="1"/>
  <c r="H41" i="1"/>
  <c r="K40" i="1"/>
  <c r="J40" i="1"/>
  <c r="H40" i="1"/>
  <c r="K39" i="1"/>
  <c r="J39" i="1"/>
  <c r="H39" i="1"/>
  <c r="K38" i="1"/>
  <c r="H38" i="1"/>
  <c r="K37" i="1"/>
  <c r="J37" i="1"/>
  <c r="H37" i="1"/>
  <c r="K36" i="1"/>
  <c r="H36" i="1"/>
  <c r="K35" i="1"/>
  <c r="H35" i="1"/>
  <c r="K34" i="1"/>
  <c r="J34" i="1"/>
  <c r="H34" i="1"/>
  <c r="K33" i="1"/>
  <c r="J33" i="1"/>
  <c r="H33" i="1"/>
  <c r="K32" i="1"/>
  <c r="J32" i="1"/>
  <c r="H32" i="1"/>
  <c r="K31" i="1"/>
  <c r="J31" i="1"/>
  <c r="H31" i="1"/>
  <c r="L30" i="1"/>
  <c r="K30" i="1"/>
  <c r="J30" i="1"/>
  <c r="H30" i="1"/>
  <c r="L29" i="1"/>
  <c r="K29" i="1"/>
  <c r="J29" i="1"/>
  <c r="H29" i="1"/>
  <c r="L28" i="1"/>
  <c r="K28" i="1"/>
  <c r="J28" i="1"/>
  <c r="H28" i="1"/>
  <c r="L27" i="1"/>
  <c r="K27" i="1"/>
  <c r="J27" i="1"/>
  <c r="H27" i="1"/>
  <c r="L26" i="1"/>
  <c r="K26" i="1"/>
  <c r="J26" i="1"/>
  <c r="H26" i="1"/>
  <c r="L25" i="1"/>
  <c r="K25" i="1"/>
  <c r="J25" i="1"/>
  <c r="H25" i="1"/>
  <c r="L24" i="1"/>
  <c r="K24" i="1"/>
  <c r="J24" i="1"/>
  <c r="H24" i="1"/>
  <c r="L23" i="1"/>
  <c r="K23" i="1"/>
  <c r="J23" i="1"/>
  <c r="H23" i="1"/>
  <c r="L22" i="1"/>
  <c r="K22" i="1"/>
  <c r="J22" i="1"/>
  <c r="H22" i="1"/>
  <c r="L21" i="1"/>
  <c r="K21" i="1"/>
  <c r="J21" i="1"/>
  <c r="H21" i="1"/>
  <c r="L20" i="1"/>
  <c r="K20" i="1"/>
  <c r="J20" i="1"/>
  <c r="H20" i="1"/>
  <c r="L19" i="1"/>
  <c r="K19" i="1"/>
  <c r="J19" i="1"/>
  <c r="H19" i="1"/>
  <c r="L18" i="1"/>
  <c r="K18" i="1"/>
  <c r="J18" i="1"/>
  <c r="H18" i="1"/>
  <c r="L17" i="1"/>
  <c r="K17" i="1"/>
  <c r="J17" i="1"/>
  <c r="H17" i="1"/>
  <c r="L16" i="1"/>
  <c r="K16" i="1"/>
  <c r="J16" i="1"/>
  <c r="H16" i="1"/>
  <c r="L15" i="1"/>
  <c r="K15" i="1"/>
  <c r="J15" i="1"/>
  <c r="H15" i="1"/>
  <c r="L14" i="1"/>
  <c r="K14" i="1"/>
  <c r="J14" i="1"/>
  <c r="H14" i="1"/>
  <c r="L13" i="1"/>
  <c r="K13" i="1"/>
  <c r="J13" i="1"/>
  <c r="H13" i="1"/>
  <c r="L12" i="1"/>
  <c r="K12" i="1"/>
  <c r="J12" i="1"/>
  <c r="H12" i="1"/>
  <c r="L11" i="1"/>
  <c r="K11" i="1"/>
  <c r="J11" i="1"/>
  <c r="H11" i="1"/>
  <c r="L10" i="1"/>
  <c r="K10" i="1"/>
  <c r="J10" i="1"/>
  <c r="H10" i="1"/>
  <c r="L9" i="1"/>
  <c r="K9" i="1"/>
  <c r="J9" i="1"/>
  <c r="H9" i="1"/>
  <c r="L8" i="1"/>
  <c r="K8" i="1"/>
  <c r="J8" i="1"/>
  <c r="H8" i="1"/>
  <c r="L7" i="1"/>
  <c r="K7" i="1"/>
  <c r="J7" i="1"/>
  <c r="H7" i="1"/>
  <c r="L6" i="1"/>
  <c r="K6" i="1"/>
  <c r="J6" i="1"/>
  <c r="H6" i="1"/>
  <c r="L5" i="1"/>
  <c r="K5" i="1"/>
  <c r="J5" i="1"/>
  <c r="H5" i="1"/>
  <c r="L4" i="1"/>
  <c r="K4" i="1"/>
  <c r="J4" i="1"/>
  <c r="H4" i="1"/>
  <c r="L3" i="1"/>
  <c r="K3" i="1"/>
  <c r="J3" i="1"/>
  <c r="H3" i="1"/>
  <c r="L2" i="1"/>
  <c r="K2" i="1"/>
  <c r="J2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HUAWEI</author>
  </authors>
  <commentList>
    <comment ref="K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HUAWEI:</t>
        </r>
        <r>
          <rPr>
            <sz val="9"/>
            <rFont val="宋体"/>
            <family val="3"/>
            <charset val="134"/>
          </rPr>
          <t xml:space="preserve">
最高涨幅日距推荐日之间的交易日</t>
        </r>
      </text>
    </comment>
  </commentList>
</comments>
</file>

<file path=xl/sharedStrings.xml><?xml version="1.0" encoding="utf-8"?>
<sst xmlns="http://schemas.openxmlformats.org/spreadsheetml/2006/main" count="80" uniqueCount="79">
  <si>
    <t>序号</t>
  </si>
  <si>
    <t>个股推荐日期</t>
  </si>
  <si>
    <t>个股名称</t>
  </si>
  <si>
    <t>代码</t>
  </si>
  <si>
    <t>推荐日开盘价</t>
  </si>
  <si>
    <t>统计截止日期</t>
  </si>
  <si>
    <t>截止日收盘价</t>
  </si>
  <si>
    <t>区间涨跌幅</t>
  </si>
  <si>
    <t>最高涨幅发生日期</t>
  </si>
  <si>
    <t>最高涨幅（%）</t>
  </si>
  <si>
    <t>距推荐日交易天数</t>
  </si>
  <si>
    <t>截止跟踪日</t>
  </si>
  <si>
    <t>国瓷材料</t>
  </si>
  <si>
    <t>风华高科</t>
  </si>
  <si>
    <t>000636</t>
  </si>
  <si>
    <t>达利凯普</t>
  </si>
  <si>
    <t>华锐精密</t>
  </si>
  <si>
    <t>新锐股份</t>
  </si>
  <si>
    <t>云南锗业</t>
  </si>
  <si>
    <t>002428</t>
  </si>
  <si>
    <t>华鲁恒升</t>
  </si>
  <si>
    <t>湖北宜化</t>
  </si>
  <si>
    <t>000422</t>
  </si>
  <si>
    <t>华灿光电</t>
  </si>
  <si>
    <t>新相微</t>
  </si>
  <si>
    <t>利亚德</t>
  </si>
  <si>
    <t>兆驰股份</t>
  </si>
  <si>
    <t>002429</t>
  </si>
  <si>
    <t>安光电</t>
  </si>
  <si>
    <t>乾照光电</t>
  </si>
  <si>
    <t>万兴科技</t>
  </si>
  <si>
    <t>优刻得</t>
  </si>
  <si>
    <t>顺网科技</t>
  </si>
  <si>
    <t>中科创达</t>
  </si>
  <si>
    <t>拓维信息</t>
  </si>
  <si>
    <t>瑞芯微</t>
  </si>
  <si>
    <t>北信源</t>
  </si>
  <si>
    <t>金杯电工</t>
  </si>
  <si>
    <t>002533</t>
  </si>
  <si>
    <t>法拉电子</t>
  </si>
  <si>
    <t>永福股份</t>
  </si>
  <si>
    <t>永太科技</t>
  </si>
  <si>
    <t>002326</t>
  </si>
  <si>
    <t>天赐材料</t>
  </si>
  <si>
    <t>002709</t>
  </si>
  <si>
    <t>海光信息</t>
  </si>
  <si>
    <t>东山精密</t>
  </si>
  <si>
    <t>002384</t>
  </si>
  <si>
    <t>香农芯创</t>
  </si>
  <si>
    <t>欣旺达</t>
  </si>
  <si>
    <t>科华数据</t>
  </si>
  <si>
    <t>002335</t>
  </si>
  <si>
    <t>宏景科技</t>
  </si>
  <si>
    <t>协创数据</t>
  </si>
  <si>
    <t>力量钻石</t>
  </si>
  <si>
    <t>四方达</t>
  </si>
  <si>
    <t>舒泰神</t>
  </si>
  <si>
    <t>三生国健</t>
  </si>
  <si>
    <t>容百科技</t>
  </si>
  <si>
    <t>鼎胜新材</t>
  </si>
  <si>
    <t>江河集团</t>
  </si>
  <si>
    <t>森特股份</t>
  </si>
  <si>
    <t>美湖股份</t>
  </si>
  <si>
    <t>浙江荣泰</t>
  </si>
  <si>
    <t>神火股份</t>
  </si>
  <si>
    <t>中国铝业</t>
  </si>
  <si>
    <t>华明装备</t>
  </si>
  <si>
    <t>002270</t>
  </si>
  <si>
    <t>伊戈尔</t>
  </si>
  <si>
    <t>新风光</t>
  </si>
  <si>
    <t>特锐德</t>
  </si>
  <si>
    <t>首都在线</t>
  </si>
  <si>
    <t>海博思创</t>
  </si>
  <si>
    <t>湖南裕能</t>
  </si>
  <si>
    <t>holidays</t>
  </si>
  <si>
    <t>002261</t>
    <phoneticPr fontId="5" type="noConversion"/>
  </si>
  <si>
    <t>002335</t>
    <phoneticPr fontId="5" type="noConversion"/>
  </si>
  <si>
    <t>000933</t>
    <phoneticPr fontId="5" type="noConversion"/>
  </si>
  <si>
    <t>002922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</si>
</sst>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/d;@"/>
    <numFmt numFmtId="177" formatCode="0.00_ "/>
  </numFmts>
  <fonts count="7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7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0" borderId="0" xfId="0" applyFo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10" fontId="0" fillId="0" borderId="1" xfId="0" applyNumberForma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6" fillId="0" borderId="3" xfId="0" quotePrefix="1" applyFont="1" applyBorder="1" applyAlignment="1">
      <alignment horizontal="center" vertical="center"/>
    </xf>
  </cellXfs>
  <cellStyles count="1">
    <cellStyle name="常规" xfId="0" builtinId="0"/>
  </cellStyles>
  <dxfs count="2">
    <dxf>
      <font>
        <color rgb="FFFF0000"/>
      </font>
    </dxf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9" Type="http://schemas.openxmlformats.org/officeDocument/2006/relationships/externalLink" Target="externalLinks/externalLink36.xml"/><Relationship Id="rId21" Type="http://schemas.openxmlformats.org/officeDocument/2006/relationships/externalLink" Target="externalLinks/externalLink18.xml"/><Relationship Id="rId34" Type="http://schemas.openxmlformats.org/officeDocument/2006/relationships/externalLink" Target="externalLinks/externalLink31.xml"/><Relationship Id="rId42" Type="http://schemas.openxmlformats.org/officeDocument/2006/relationships/externalLink" Target="externalLinks/externalLink39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9" Type="http://schemas.openxmlformats.org/officeDocument/2006/relationships/externalLink" Target="externalLinks/externalLink2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40" Type="http://schemas.openxmlformats.org/officeDocument/2006/relationships/externalLink" Target="externalLinks/externalLink37.xml"/><Relationship Id="rId45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externalLink" Target="externalLinks/externalLink33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4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43" Type="http://schemas.openxmlformats.org/officeDocument/2006/relationships/theme" Target="theme/theme1.xml"/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2269;&#29943;&#26448;&#26009;300285.xls" TargetMode="External"/><Relationship Id="rId1" Type="http://schemas.openxmlformats.org/officeDocument/2006/relationships/externalLinkPath" Target="/Users/j/Library/Containers/com.tencent.xinWeChat/Data/Documents/xwechat_files/wxid_ic3pfuv07ktk11_75d4/msg/file/2026-06/&#22269;&#29943;&#26448;&#26009;300285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39118;&#21326;&#39640;&#31185;000636.xls" TargetMode="External"/><Relationship Id="rId1" Type="http://schemas.openxmlformats.org/officeDocument/2006/relationships/externalLinkPath" Target="/Users/j/Library/Containers/com.tencent.xinWeChat/Data/Documents/xwechat_files/wxid_ic3pfuv07ktk11_75d4/msg/file/2026-06/&#39118;&#21326;&#39640;&#31185;000636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36798;&#21033;&#20975;&#26222;301566.xls" TargetMode="External"/><Relationship Id="rId1" Type="http://schemas.openxmlformats.org/officeDocument/2006/relationships/externalLinkPath" Target="/Users/j/Library/Containers/com.tencent.xinWeChat/Data/Documents/xwechat_files/wxid_ic3pfuv07ktk11_75d4/msg/file/2026-06/&#36798;&#21033;&#20975;&#26222;301566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1326;&#38160;&#31934;&#23494;688059.xls" TargetMode="External"/><Relationship Id="rId1" Type="http://schemas.openxmlformats.org/officeDocument/2006/relationships/externalLinkPath" Target="/Users/j/Library/Containers/com.tencent.xinWeChat/Data/Documents/xwechat_files/wxid_ic3pfuv07ktk11_75d4/msg/file/2026-06/&#21326;&#38160;&#31934;&#23494;688059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6032;&#38160;&#32929;&#20221;688257.xls" TargetMode="External"/><Relationship Id="rId1" Type="http://schemas.openxmlformats.org/officeDocument/2006/relationships/externalLinkPath" Target="/Users/j/Library/Containers/com.tencent.xinWeChat/Data/Documents/xwechat_files/wxid_ic3pfuv07ktk11_75d4/msg/file/2026-06/&#26032;&#38160;&#32929;&#20221;688257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0113;&#21335;&#38167;&#19994;002428.xls" TargetMode="External"/><Relationship Id="rId1" Type="http://schemas.openxmlformats.org/officeDocument/2006/relationships/externalLinkPath" Target="/Users/j/Library/Containers/com.tencent.xinWeChat/Data/Documents/xwechat_files/wxid_ic3pfuv07ktk11_75d4/msg/file/2026-06/&#20113;&#21335;&#38167;&#19994;002428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1326;&#40065;&#24658;&#21319;600426.xls" TargetMode="External"/><Relationship Id="rId1" Type="http://schemas.openxmlformats.org/officeDocument/2006/relationships/externalLinkPath" Target="/Users/j/Library/Containers/com.tencent.xinWeChat/Data/Documents/xwechat_files/wxid_ic3pfuv07ktk11_75d4/msg/file/2026-06/&#21326;&#40065;&#24658;&#21319;600426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8246;&#21271;&#23452;&#21270;000422.xls" TargetMode="External"/><Relationship Id="rId1" Type="http://schemas.openxmlformats.org/officeDocument/2006/relationships/externalLinkPath" Target="/Users/j/Library/Containers/com.tencent.xinWeChat/Data/Documents/xwechat_files/wxid_ic3pfuv07ktk11_75d4/msg/file/2026-06/&#28246;&#21271;&#23452;&#21270;000422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1326;&#28799;&#20809;&#30005;300323.xls" TargetMode="External"/><Relationship Id="rId1" Type="http://schemas.openxmlformats.org/officeDocument/2006/relationships/externalLinkPath" Target="/Users/j/Library/Containers/com.tencent.xinWeChat/Data/Documents/xwechat_files/wxid_ic3pfuv07ktk11_75d4/msg/file/2026-06/&#21326;&#28799;&#20809;&#30005;300323.xls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6032;&#30456;&#24494;688593.xls" TargetMode="External"/><Relationship Id="rId1" Type="http://schemas.openxmlformats.org/officeDocument/2006/relationships/externalLinkPath" Target="/Users/j/Library/Containers/com.tencent.xinWeChat/Data/Documents/xwechat_files/wxid_ic3pfuv07ktk11_75d4/msg/file/2026-06/&#26032;&#30456;&#24494;688593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1033;&#20122;&#24503;300296.xls" TargetMode="External"/><Relationship Id="rId1" Type="http://schemas.openxmlformats.org/officeDocument/2006/relationships/externalLinkPath" Target="/Users/j/Library/Containers/com.tencent.xinWeChat/Data/Documents/xwechat_files/wxid_ic3pfuv07ktk11_75d4/msg/file/2026-06/&#21033;&#20122;&#24503;300296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0806;&#39536;&#32929;&#20221;002429.xls" TargetMode="External"/><Relationship Id="rId1" Type="http://schemas.openxmlformats.org/officeDocument/2006/relationships/externalLinkPath" Target="/Users/j/Library/Containers/com.tencent.xinWeChat/Data/Documents/xwechat_files/wxid_ic3pfuv07ktk11_75d4/msg/file/2026-06/&#20806;&#39536;&#32929;&#20221;002429.xls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19977;&#23433;&#20809;&#30005;600703.xls" TargetMode="External"/><Relationship Id="rId1" Type="http://schemas.openxmlformats.org/officeDocument/2006/relationships/externalLinkPath" Target="/Users/j/Library/Containers/com.tencent.xinWeChat/Data/Documents/xwechat_files/wxid_ic3pfuv07ktk11_75d4/msg/file/2026-06/&#19977;&#23433;&#20809;&#30005;600703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0094;&#29031;&#20809;&#30005;300102.xls" TargetMode="External"/><Relationship Id="rId1" Type="http://schemas.openxmlformats.org/officeDocument/2006/relationships/externalLinkPath" Target="/Users/j/Library/Containers/com.tencent.xinWeChat/Data/Documents/xwechat_files/wxid_ic3pfuv07ktk11_75d4/msg/file/2026-06/&#20094;&#29031;&#20809;&#30005;300102.xls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19975;&#20852;&#31185;&#25216;300624.xls" TargetMode="External"/><Relationship Id="rId1" Type="http://schemas.openxmlformats.org/officeDocument/2006/relationships/externalLinkPath" Target="/Users/j/Library/Containers/com.tencent.xinWeChat/Data/Documents/xwechat_files/wxid_ic3pfuv07ktk11_75d4/msg/file/2026-06/&#19975;&#20852;&#31185;&#25216;300624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0248;&#21051;&#24471;688158.xls" TargetMode="External"/><Relationship Id="rId1" Type="http://schemas.openxmlformats.org/officeDocument/2006/relationships/externalLinkPath" Target="/Users/j/Library/Containers/com.tencent.xinWeChat/Data/Documents/xwechat_files/wxid_ic3pfuv07ktk11_75d4/msg/file/2026-06/&#20248;&#21051;&#24471;688158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39034;&#32593;&#31185;&#25216;300113.xls" TargetMode="External"/><Relationship Id="rId1" Type="http://schemas.openxmlformats.org/officeDocument/2006/relationships/externalLinkPath" Target="/Users/j/Library/Containers/com.tencent.xinWeChat/Data/Documents/xwechat_files/wxid_ic3pfuv07ktk11_75d4/msg/file/2026-06/&#39034;&#32593;&#31185;&#25216;300113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0013;&#31185;&#21019;&#36798;300496.xls" TargetMode="External"/><Relationship Id="rId1" Type="http://schemas.openxmlformats.org/officeDocument/2006/relationships/externalLinkPath" Target="/Users/j/Library/Containers/com.tencent.xinWeChat/Data/Documents/xwechat_files/wxid_ic3pfuv07ktk11_75d4/msg/file/2026-06/&#20013;&#31185;&#21019;&#36798;300496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5299;&#32500;&#20449;&#24687;002261.xls" TargetMode="External"/><Relationship Id="rId1" Type="http://schemas.openxmlformats.org/officeDocument/2006/relationships/externalLinkPath" Target="/Users/j/Library/Containers/com.tencent.xinWeChat/Data/Documents/xwechat_files/wxid_ic3pfuv07ktk11_75d4/msg/file/2026-06/&#25299;&#32500;&#20449;&#24687;002261.xls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9790;&#33455;&#24494;603893.xls" TargetMode="External"/><Relationship Id="rId1" Type="http://schemas.openxmlformats.org/officeDocument/2006/relationships/externalLinkPath" Target="/Users/j/Library/Containers/com.tencent.xinWeChat/Data/Documents/xwechat_files/wxid_ic3pfuv07ktk11_75d4/msg/file/2026-06/&#29790;&#33455;&#24494;603893.xls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1271;&#20449;&#28304;300352.xls" TargetMode="External"/><Relationship Id="rId1" Type="http://schemas.openxmlformats.org/officeDocument/2006/relationships/externalLinkPath" Target="/Users/j/Library/Containers/com.tencent.xinWeChat/Data/Documents/xwechat_files/wxid_ic3pfuv07ktk11_75d4/msg/file/2026-06/&#21271;&#20449;&#28304;300352.xls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37329;&#26479;&#30005;&#24037;002533.xls" TargetMode="External"/><Relationship Id="rId1" Type="http://schemas.openxmlformats.org/officeDocument/2006/relationships/externalLinkPath" Target="/Users/j/Library/Containers/com.tencent.xinWeChat/Data/Documents/xwechat_files/wxid_ic3pfuv07ktk11_75d4/msg/file/2026-06/&#37329;&#26479;&#30005;&#24037;002533.xls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7861;&#25289;&#30005;&#23376;600563.xls" TargetMode="External"/><Relationship Id="rId1" Type="http://schemas.openxmlformats.org/officeDocument/2006/relationships/externalLinkPath" Target="/Users/j/Library/Containers/com.tencent.xinWeChat/Data/Documents/xwechat_files/wxid_ic3pfuv07ktk11_75d4/msg/file/2026-06/&#27861;&#25289;&#30005;&#23376;600563.xls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7704;&#31119;&#32929;&#20221;300712.xls" TargetMode="External"/><Relationship Id="rId1" Type="http://schemas.openxmlformats.org/officeDocument/2006/relationships/externalLinkPath" Target="/Users/j/Library/Containers/com.tencent.xinWeChat/Data/Documents/xwechat_files/wxid_ic3pfuv07ktk11_75d4/msg/file/2026-06/&#27704;&#31119;&#32929;&#20221;300712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7704;&#22826;&#31185;&#25216;002326.xls" TargetMode="External"/><Relationship Id="rId1" Type="http://schemas.openxmlformats.org/officeDocument/2006/relationships/externalLinkPath" Target="/Users/j/Library/Containers/com.tencent.xinWeChat/Data/Documents/xwechat_files/wxid_ic3pfuv07ktk11_75d4/msg/file/2026-06/&#27704;&#22826;&#31185;&#25216;002326.xls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2825;&#36176;&#26448;&#26009;002709.xls" TargetMode="External"/><Relationship Id="rId1" Type="http://schemas.openxmlformats.org/officeDocument/2006/relationships/externalLinkPath" Target="/Users/j/Library/Containers/com.tencent.xinWeChat/Data/Documents/xwechat_files/wxid_ic3pfuv07ktk11_75d4/msg/file/2026-06/&#22825;&#36176;&#26448;&#26009;002709.xls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8023;&#20809;&#20449;&#24687;688041.xls" TargetMode="External"/><Relationship Id="rId1" Type="http://schemas.openxmlformats.org/officeDocument/2006/relationships/externalLinkPath" Target="/Users/j/Library/Containers/com.tencent.xinWeChat/Data/Documents/xwechat_files/wxid_ic3pfuv07ktk11_75d4/msg/file/2026-06/&#28023;&#20809;&#20449;&#24687;688041.xls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19996;&#23665;&#31934;&#23494;002384.xls" TargetMode="External"/><Relationship Id="rId1" Type="http://schemas.openxmlformats.org/officeDocument/2006/relationships/externalLinkPath" Target="/Users/j/Library/Containers/com.tencent.xinWeChat/Data/Documents/xwechat_files/wxid_ic3pfuv07ktk11_75d4/msg/file/2026-06/&#19996;&#23665;&#31934;&#23494;002384.xls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39321;&#20892;&#33455;&#21019;300475.xls" TargetMode="External"/><Relationship Id="rId1" Type="http://schemas.openxmlformats.org/officeDocument/2006/relationships/externalLinkPath" Target="/Users/j/Library/Containers/com.tencent.xinWeChat/Data/Documents/xwechat_files/wxid_ic3pfuv07ktk11_75d4/msg/file/2026-06/&#39321;&#20892;&#33455;&#21019;300475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7427;&#26106;&#36798;300207.xls" TargetMode="External"/><Relationship Id="rId1" Type="http://schemas.openxmlformats.org/officeDocument/2006/relationships/externalLinkPath" Target="/Users/j/Library/Containers/com.tencent.xinWeChat/Data/Documents/xwechat_files/wxid_ic3pfuv07ktk11_75d4/msg/file/2026-06/&#27427;&#26106;&#36798;300207.xls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31185;&#21326;&#25968;&#25454;002335.xls" TargetMode="External"/><Relationship Id="rId1" Type="http://schemas.openxmlformats.org/officeDocument/2006/relationships/externalLinkPath" Target="/Users/j/Library/Containers/com.tencent.xinWeChat/Data/Documents/xwechat_files/wxid_ic3pfuv07ktk11_75d4/msg/file/2026-06/&#31185;&#21326;&#25968;&#25454;002335.xls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3439;&#26223;&#31185;&#25216;301396.xls" TargetMode="External"/><Relationship Id="rId1" Type="http://schemas.openxmlformats.org/officeDocument/2006/relationships/externalLinkPath" Target="/Users/j/Library/Containers/com.tencent.xinWeChat/Data/Documents/xwechat_files/wxid_ic3pfuv07ktk11_75d4/msg/file/2026-06/&#23439;&#26223;&#31185;&#25216;301396.xls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1327;&#21019;&#25968;&#25454;300857.xls" TargetMode="External"/><Relationship Id="rId1" Type="http://schemas.openxmlformats.org/officeDocument/2006/relationships/externalLinkPath" Target="/Users/j/Library/Containers/com.tencent.xinWeChat/Data/Documents/xwechat_files/wxid_ic3pfuv07ktk11_75d4/msg/file/2026-06/&#21327;&#21019;&#25968;&#25454;300857.xls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33298;&#27888;&#31070;300204.xls" TargetMode="External"/><Relationship Id="rId1" Type="http://schemas.openxmlformats.org/officeDocument/2006/relationships/externalLinkPath" Target="/Users/j/Library/Containers/com.tencent.xinWeChat/Data/Documents/xwechat_files/wxid_ic3pfuv07ktk11_75d4/msg/file/2026-06/&#33298;&#27888;&#31070;300204.xls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3481;&#30334;&#31185;&#25216;688005.xls" TargetMode="External"/><Relationship Id="rId1" Type="http://schemas.openxmlformats.org/officeDocument/2006/relationships/externalLinkPath" Target="/Users/j/Library/Containers/com.tencent.xinWeChat/Data/Documents/xwechat_files/wxid_ic3pfuv07ktk11_75d4/msg/file/2026-06/&#23481;&#30334;&#31185;&#25216;688005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40718;&#32988;&#26032;&#26448;603876.xls" TargetMode="External"/><Relationship Id="rId1" Type="http://schemas.openxmlformats.org/officeDocument/2006/relationships/externalLinkPath" Target="/Users/j/Library/Containers/com.tencent.xinWeChat/Data/Documents/xwechat_files/wxid_ic3pfuv07ktk11_75d4/msg/file/2026-06/&#40718;&#32988;&#26032;&#26448;603876.xls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7743;&#27827;&#38598;&#22242;601886.xls" TargetMode="External"/><Relationship Id="rId1" Type="http://schemas.openxmlformats.org/officeDocument/2006/relationships/externalLinkPath" Target="/Users/j/Library/Containers/com.tencent.xinWeChat/Data/Documents/xwechat_files/wxid_ic3pfuv07ktk11_75d4/msg/file/2026-06/&#27743;&#27827;&#38598;&#22242;601886.xls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6862;&#29305;&#32929;&#20221;603098.xls" TargetMode="External"/><Relationship Id="rId1" Type="http://schemas.openxmlformats.org/officeDocument/2006/relationships/externalLinkPath" Target="/Users/j/Library/Containers/com.tencent.xinWeChat/Data/Documents/xwechat_files/wxid_ic3pfuv07ktk11_75d4/msg/file/2026-06/&#26862;&#29305;&#32929;&#20221;603098.xls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../Library/Containers/com.tencent.xinWeChat/Data/Documents/xwechat_files/wxid_ic3pfuv07ktk11_75d4/msg/file/2026-06/&#27993;&#27743;&#33635;&#27888;603119.xls" TargetMode="External"/><Relationship Id="rId1" Type="http://schemas.openxmlformats.org/officeDocument/2006/relationships/externalLinkPath" Target="/Users/j/Library/Containers/com.tencent.xinWeChat/Data/Documents/xwechat_files/wxid_ic3pfuv07ktk11_75d4/msg/file/2026-06/&#27993;&#27743;&#33635;&#27888;60311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国瓷材料300285"/>
    </sheetNames>
    <sheetDataSet>
      <sheetData sheetId="0">
        <row r="1">
          <cell r="F1" t="str">
            <v>涨幅</v>
          </cell>
        </row>
        <row r="2">
          <cell r="F2">
            <v>4.9399999999999999E-2</v>
          </cell>
        </row>
        <row r="3">
          <cell r="F3">
            <v>3.7100000000000001E-2</v>
          </cell>
        </row>
        <row r="4">
          <cell r="F4">
            <v>4.5400000000000003E-2</v>
          </cell>
        </row>
        <row r="5">
          <cell r="F5">
            <v>6.4999999999999997E-3</v>
          </cell>
        </row>
        <row r="6">
          <cell r="F6">
            <v>-5.74E-2</v>
          </cell>
        </row>
        <row r="7">
          <cell r="F7">
            <v>-2.98E-2</v>
          </cell>
        </row>
        <row r="8">
          <cell r="F8">
            <v>8.2000000000000007E-3</v>
          </cell>
        </row>
        <row r="9">
          <cell r="F9">
            <v>0</v>
          </cell>
        </row>
        <row r="10">
          <cell r="F10">
            <v>-3.04E-2</v>
          </cell>
        </row>
        <row r="11">
          <cell r="F11">
            <v>0.11070000000000001</v>
          </cell>
        </row>
        <row r="12">
          <cell r="F12">
            <v>3.8399999999999997E-2</v>
          </cell>
        </row>
        <row r="13">
          <cell r="F13">
            <v>-3.2500000000000001E-2</v>
          </cell>
        </row>
        <row r="14">
          <cell r="F14">
            <v>-1.15E-2</v>
          </cell>
        </row>
        <row r="15">
          <cell r="F15">
            <v>-1.55E-2</v>
          </cell>
        </row>
        <row r="16">
          <cell r="F16">
            <v>-3.9899999999999998E-2</v>
          </cell>
        </row>
        <row r="17">
          <cell r="F17">
            <v>1.2500000000000001E-2</v>
          </cell>
        </row>
        <row r="18">
          <cell r="F18">
            <v>-5.3400000000000003E-2</v>
          </cell>
        </row>
        <row r="19">
          <cell r="F19">
            <v>-4.8500000000000001E-2</v>
          </cell>
        </row>
        <row r="20">
          <cell r="F20">
            <v>-5.9299999999999999E-2</v>
          </cell>
        </row>
        <row r="21">
          <cell r="F21">
            <v>1.6199999999999999E-2</v>
          </cell>
        </row>
        <row r="22">
          <cell r="F22">
            <v>1.44E-2</v>
          </cell>
        </row>
        <row r="23">
          <cell r="F23">
            <v>-3.9100000000000003E-2</v>
          </cell>
        </row>
        <row r="24">
          <cell r="F24">
            <v>6.6E-3</v>
          </cell>
        </row>
        <row r="25">
          <cell r="F25">
            <v>-2.3E-3</v>
          </cell>
        </row>
        <row r="26">
          <cell r="F26">
            <v>2E-3</v>
          </cell>
        </row>
        <row r="27">
          <cell r="F27">
            <v>2.2100000000000002E-2</v>
          </cell>
        </row>
        <row r="28">
          <cell r="F28">
            <v>-3.95E-2</v>
          </cell>
        </row>
        <row r="29">
          <cell r="F29">
            <v>1.5299999999999999E-2</v>
          </cell>
        </row>
        <row r="30">
          <cell r="F30">
            <v>2.1600000000000001E-2</v>
          </cell>
        </row>
        <row r="31">
          <cell r="F31">
            <v>3.0700000000000002E-2</v>
          </cell>
        </row>
        <row r="32">
          <cell r="F32">
            <v>-1.06E-2</v>
          </cell>
        </row>
        <row r="33">
          <cell r="F33">
            <v>3.0700000000000002E-2</v>
          </cell>
        </row>
        <row r="34">
          <cell r="F34">
            <v>4.1700000000000001E-2</v>
          </cell>
        </row>
        <row r="35">
          <cell r="F35">
            <v>-4.4000000000000003E-3</v>
          </cell>
        </row>
        <row r="36">
          <cell r="F36">
            <v>-2.29E-2</v>
          </cell>
        </row>
        <row r="37">
          <cell r="F37">
            <v>7.1499999999999994E-2</v>
          </cell>
        </row>
        <row r="38">
          <cell r="F38">
            <v>2.58E-2</v>
          </cell>
        </row>
        <row r="39">
          <cell r="F39">
            <v>-2.6499999999999999E-2</v>
          </cell>
        </row>
        <row r="40">
          <cell r="F40">
            <v>7.0000000000000001E-3</v>
          </cell>
        </row>
        <row r="41">
          <cell r="F41">
            <v>2.1700000000000001E-2</v>
          </cell>
        </row>
        <row r="42">
          <cell r="F42">
            <v>-1.7999999999999999E-2</v>
          </cell>
        </row>
        <row r="43">
          <cell r="F43">
            <v>-1.3599999999999999E-2</v>
          </cell>
        </row>
        <row r="44">
          <cell r="F44">
            <v>-1.35E-2</v>
          </cell>
        </row>
        <row r="45">
          <cell r="F45">
            <v>5.7700000000000001E-2</v>
          </cell>
        </row>
        <row r="46">
          <cell r="F46">
            <v>-1.9E-3</v>
          </cell>
        </row>
        <row r="47">
          <cell r="F47">
            <v>-3.2399999999999998E-2</v>
          </cell>
        </row>
        <row r="48">
          <cell r="F48">
            <v>4.6100000000000002E-2</v>
          </cell>
        </row>
        <row r="49">
          <cell r="F49">
            <v>3.3399999999999999E-2</v>
          </cell>
        </row>
        <row r="50">
          <cell r="F50">
            <v>-1.06E-2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风华高科000636"/>
    </sheetNames>
    <sheetDataSet>
      <sheetData sheetId="0">
        <row r="1">
          <cell r="F1" t="str">
            <v>涨幅</v>
          </cell>
        </row>
        <row r="2">
          <cell r="F2">
            <v>0.1</v>
          </cell>
        </row>
        <row r="3">
          <cell r="F3">
            <v>-4.0000000000000002E-4</v>
          </cell>
        </row>
        <row r="4">
          <cell r="F4">
            <v>1.0500000000000001E-2</v>
          </cell>
        </row>
        <row r="5">
          <cell r="F5">
            <v>1.9199999999999998E-2</v>
          </cell>
        </row>
        <row r="6">
          <cell r="F6">
            <v>-0.1</v>
          </cell>
        </row>
        <row r="7">
          <cell r="F7">
            <v>2.0999999999999999E-3</v>
          </cell>
        </row>
        <row r="8">
          <cell r="F8">
            <v>-6.3E-3</v>
          </cell>
        </row>
        <row r="9">
          <cell r="F9">
            <v>0</v>
          </cell>
        </row>
        <row r="10">
          <cell r="F10">
            <v>-3.1199999999999999E-2</v>
          </cell>
        </row>
        <row r="11">
          <cell r="F11">
            <v>3.8199999999999998E-2</v>
          </cell>
        </row>
        <row r="12">
          <cell r="F12">
            <v>-2.0500000000000001E-2</v>
          </cell>
        </row>
        <row r="13">
          <cell r="F13">
            <v>-3.85E-2</v>
          </cell>
        </row>
        <row r="14">
          <cell r="F14">
            <v>-3.56E-2</v>
          </cell>
        </row>
        <row r="15">
          <cell r="F15">
            <v>1.15E-2</v>
          </cell>
        </row>
        <row r="16">
          <cell r="F16">
            <v>2.0500000000000001E-2</v>
          </cell>
        </row>
        <row r="17">
          <cell r="F17">
            <v>4.4999999999999997E-3</v>
          </cell>
        </row>
        <row r="18">
          <cell r="F18">
            <v>1.2999999999999999E-3</v>
          </cell>
        </row>
        <row r="19">
          <cell r="F19">
            <v>-5.5E-2</v>
          </cell>
        </row>
        <row r="20">
          <cell r="F20">
            <v>-8.0299999999999996E-2</v>
          </cell>
        </row>
        <row r="21">
          <cell r="F21">
            <v>2.6599999999999999E-2</v>
          </cell>
        </row>
        <row r="22">
          <cell r="F22">
            <v>2.5000000000000001E-3</v>
          </cell>
        </row>
        <row r="23">
          <cell r="F23">
            <v>-3.5700000000000003E-2</v>
          </cell>
        </row>
        <row r="24">
          <cell r="F24">
            <v>9.2999999999999992E-3</v>
          </cell>
        </row>
        <row r="25">
          <cell r="F25">
            <v>-1.2699999999999999E-2</v>
          </cell>
        </row>
        <row r="26">
          <cell r="F26">
            <v>-2.2200000000000001E-2</v>
          </cell>
        </row>
        <row r="27">
          <cell r="F27">
            <v>3.1199999999999999E-2</v>
          </cell>
        </row>
        <row r="28">
          <cell r="F28">
            <v>-4.6100000000000002E-2</v>
          </cell>
        </row>
        <row r="29">
          <cell r="F29">
            <v>-5.0000000000000001E-4</v>
          </cell>
        </row>
        <row r="30">
          <cell r="F30">
            <v>-3.2000000000000002E-3</v>
          </cell>
        </row>
        <row r="31">
          <cell r="F31">
            <v>6.9000000000000006E-2</v>
          </cell>
        </row>
        <row r="32">
          <cell r="F32">
            <v>-5.0000000000000001E-3</v>
          </cell>
        </row>
        <row r="33">
          <cell r="F33">
            <v>1.17E-2</v>
          </cell>
        </row>
        <row r="34">
          <cell r="F34">
            <v>2.6599999999999999E-2</v>
          </cell>
        </row>
        <row r="35">
          <cell r="F35">
            <v>1.7100000000000001E-2</v>
          </cell>
        </row>
        <row r="36">
          <cell r="F36">
            <v>9.5999999999999992E-3</v>
          </cell>
        </row>
        <row r="37">
          <cell r="F37">
            <v>5.6099999999999997E-2</v>
          </cell>
        </row>
        <row r="38">
          <cell r="F38">
            <v>-1.04E-2</v>
          </cell>
        </row>
        <row r="39">
          <cell r="F39">
            <v>8.2000000000000007E-3</v>
          </cell>
        </row>
        <row r="40">
          <cell r="F40">
            <v>8.9999999999999998E-4</v>
          </cell>
        </row>
        <row r="41">
          <cell r="F41">
            <v>1.3100000000000001E-2</v>
          </cell>
        </row>
        <row r="42">
          <cell r="F42">
            <v>-1.4200000000000001E-2</v>
          </cell>
        </row>
        <row r="43">
          <cell r="F43">
            <v>2.5700000000000001E-2</v>
          </cell>
        </row>
        <row r="44">
          <cell r="F44">
            <v>2.46E-2</v>
          </cell>
        </row>
        <row r="45">
          <cell r="F45">
            <v>4.9399999999999999E-2</v>
          </cell>
        </row>
        <row r="46">
          <cell r="F46">
            <v>3.44E-2</v>
          </cell>
        </row>
        <row r="47">
          <cell r="F47">
            <v>-7.4999999999999997E-3</v>
          </cell>
        </row>
        <row r="48">
          <cell r="F48">
            <v>-1.12E-2</v>
          </cell>
        </row>
        <row r="49">
          <cell r="F49">
            <v>1.37E-2</v>
          </cell>
        </row>
        <row r="50">
          <cell r="F50">
            <v>7.6E-3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达利凯普301566"/>
    </sheetNames>
    <sheetDataSet>
      <sheetData sheetId="0">
        <row r="1">
          <cell r="F1" t="str">
            <v>涨幅</v>
          </cell>
        </row>
        <row r="2">
          <cell r="F2">
            <v>4.82E-2</v>
          </cell>
        </row>
        <row r="3">
          <cell r="F3">
            <v>1.9199999999999998E-2</v>
          </cell>
        </row>
        <row r="4">
          <cell r="F4">
            <v>9.7999999999999997E-3</v>
          </cell>
        </row>
        <row r="5">
          <cell r="F5">
            <v>-3.2399999999999998E-2</v>
          </cell>
        </row>
        <row r="6">
          <cell r="F6">
            <v>-8.9599999999999999E-2</v>
          </cell>
        </row>
        <row r="7">
          <cell r="F7">
            <v>2.07E-2</v>
          </cell>
        </row>
        <row r="8">
          <cell r="F8">
            <v>-7.0000000000000001E-3</v>
          </cell>
        </row>
        <row r="9">
          <cell r="F9">
            <v>-3.3E-3</v>
          </cell>
        </row>
        <row r="10">
          <cell r="F10">
            <v>-4.2299999999999997E-2</v>
          </cell>
        </row>
        <row r="11">
          <cell r="F11">
            <v>5.7200000000000001E-2</v>
          </cell>
        </row>
        <row r="12">
          <cell r="F12">
            <v>-1.9800000000000002E-2</v>
          </cell>
        </row>
        <row r="13">
          <cell r="F13">
            <v>-3.9600000000000003E-2</v>
          </cell>
        </row>
        <row r="14">
          <cell r="F14">
            <v>-2.81E-2</v>
          </cell>
        </row>
        <row r="15">
          <cell r="F15">
            <v>1.67E-2</v>
          </cell>
        </row>
        <row r="16">
          <cell r="F16">
            <v>2.2000000000000001E-3</v>
          </cell>
        </row>
        <row r="17">
          <cell r="F17">
            <v>3.15E-2</v>
          </cell>
        </row>
        <row r="18">
          <cell r="F18">
            <v>-2.6200000000000001E-2</v>
          </cell>
        </row>
        <row r="19">
          <cell r="F19">
            <v>-2.8199999999999999E-2</v>
          </cell>
        </row>
        <row r="20">
          <cell r="F20">
            <v>-0.1072</v>
          </cell>
        </row>
        <row r="21">
          <cell r="F21">
            <v>1.5299999999999999E-2</v>
          </cell>
        </row>
        <row r="22">
          <cell r="F22">
            <v>0</v>
          </cell>
        </row>
        <row r="23">
          <cell r="F23">
            <v>-2.0500000000000001E-2</v>
          </cell>
        </row>
        <row r="24">
          <cell r="F24">
            <v>1.18E-2</v>
          </cell>
        </row>
        <row r="25">
          <cell r="F25">
            <v>-3.5000000000000001E-3</v>
          </cell>
        </row>
        <row r="26">
          <cell r="F26">
            <v>-1.7299999999999999E-2</v>
          </cell>
        </row>
        <row r="27">
          <cell r="F27">
            <v>2.2200000000000001E-2</v>
          </cell>
        </row>
        <row r="28">
          <cell r="F28">
            <v>-3.3300000000000003E-2</v>
          </cell>
        </row>
        <row r="29">
          <cell r="F29">
            <v>-1.3599999999999999E-2</v>
          </cell>
        </row>
        <row r="30">
          <cell r="F30">
            <v>8.9999999999999993E-3</v>
          </cell>
        </row>
        <row r="31">
          <cell r="F31">
            <v>7.3499999999999996E-2</v>
          </cell>
        </row>
        <row r="32">
          <cell r="F32">
            <v>-5.8999999999999999E-3</v>
          </cell>
        </row>
        <row r="33">
          <cell r="F33">
            <v>3.3999999999999998E-3</v>
          </cell>
        </row>
        <row r="34">
          <cell r="F34">
            <v>1.03E-2</v>
          </cell>
        </row>
        <row r="35">
          <cell r="F35">
            <v>2.23E-2</v>
          </cell>
        </row>
        <row r="36">
          <cell r="F36">
            <v>-1.3299999999999999E-2</v>
          </cell>
        </row>
        <row r="37">
          <cell r="F37">
            <v>3.7999999999999999E-2</v>
          </cell>
        </row>
        <row r="38">
          <cell r="F38">
            <v>3.9899999999999998E-2</v>
          </cell>
        </row>
        <row r="39">
          <cell r="F39">
            <v>4.3700000000000003E-2</v>
          </cell>
        </row>
        <row r="40">
          <cell r="F40">
            <v>1.15E-2</v>
          </cell>
        </row>
        <row r="41">
          <cell r="F41">
            <v>5.8700000000000002E-2</v>
          </cell>
        </row>
        <row r="42">
          <cell r="F42">
            <v>-4.3099999999999999E-2</v>
          </cell>
        </row>
        <row r="43">
          <cell r="F43">
            <v>-1.9599999999999999E-2</v>
          </cell>
        </row>
        <row r="44">
          <cell r="F44">
            <v>8.0999999999999996E-3</v>
          </cell>
        </row>
        <row r="45">
          <cell r="F45">
            <v>2.3599999999999999E-2</v>
          </cell>
        </row>
        <row r="46">
          <cell r="F46">
            <v>3.3E-3</v>
          </cell>
        </row>
        <row r="47">
          <cell r="F47">
            <v>-8.2000000000000007E-3</v>
          </cell>
        </row>
        <row r="48">
          <cell r="F48">
            <v>2.4400000000000002E-2</v>
          </cell>
        </row>
        <row r="49">
          <cell r="F49">
            <v>3.3500000000000002E-2</v>
          </cell>
        </row>
        <row r="50">
          <cell r="F50">
            <v>3.5000000000000001E-3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华锐精密688059"/>
    </sheetNames>
    <sheetDataSet>
      <sheetData sheetId="0">
        <row r="1">
          <cell r="F1" t="str">
            <v>涨幅</v>
          </cell>
        </row>
        <row r="2">
          <cell r="F2">
            <v>6.1000000000000004E-3</v>
          </cell>
        </row>
        <row r="3">
          <cell r="F3">
            <v>3.3500000000000002E-2</v>
          </cell>
        </row>
        <row r="4">
          <cell r="F4">
            <v>-5.5899999999999998E-2</v>
          </cell>
        </row>
        <row r="5">
          <cell r="F5">
            <v>-3.8800000000000001E-2</v>
          </cell>
        </row>
        <row r="6">
          <cell r="F6">
            <v>8.43E-2</v>
          </cell>
        </row>
        <row r="7">
          <cell r="F7">
            <v>2.5600000000000001E-2</v>
          </cell>
        </row>
        <row r="8">
          <cell r="F8">
            <v>-6.1999999999999998E-3</v>
          </cell>
        </row>
        <row r="9">
          <cell r="F9">
            <v>8.2100000000000006E-2</v>
          </cell>
        </row>
        <row r="10">
          <cell r="F10">
            <v>-6.3799999999999996E-2</v>
          </cell>
        </row>
        <row r="11">
          <cell r="F11">
            <v>-4.6300000000000001E-2</v>
          </cell>
        </row>
        <row r="12">
          <cell r="F12">
            <v>-5.6899999999999999E-2</v>
          </cell>
        </row>
        <row r="13">
          <cell r="F13">
            <v>-2.41E-2</v>
          </cell>
        </row>
        <row r="14">
          <cell r="F14">
            <v>-3.6600000000000001E-2</v>
          </cell>
        </row>
        <row r="15">
          <cell r="F15">
            <v>5.2600000000000001E-2</v>
          </cell>
        </row>
        <row r="16">
          <cell r="F16">
            <v>-3.1699999999999999E-2</v>
          </cell>
        </row>
        <row r="17">
          <cell r="F17">
            <v>-2.07E-2</v>
          </cell>
        </row>
        <row r="18">
          <cell r="F18">
            <v>-5.1499999999999997E-2</v>
          </cell>
        </row>
        <row r="19">
          <cell r="F19">
            <v>4.8599999999999997E-2</v>
          </cell>
        </row>
        <row r="20">
          <cell r="F20">
            <v>4.2000000000000003E-2</v>
          </cell>
        </row>
        <row r="21">
          <cell r="F21">
            <v>-2.9399999999999999E-2</v>
          </cell>
        </row>
        <row r="22">
          <cell r="F22">
            <v>4.0000000000000001E-3</v>
          </cell>
        </row>
        <row r="23">
          <cell r="F23">
            <v>5.7799999999999997E-2</v>
          </cell>
        </row>
        <row r="24">
          <cell r="F24">
            <v>-5.4699999999999999E-2</v>
          </cell>
        </row>
        <row r="25">
          <cell r="F25">
            <v>5.9900000000000002E-2</v>
          </cell>
        </row>
        <row r="26">
          <cell r="F26">
            <v>-3.5200000000000002E-2</v>
          </cell>
        </row>
        <row r="27">
          <cell r="F27">
            <v>-2.75E-2</v>
          </cell>
        </row>
        <row r="28">
          <cell r="F28">
            <v>1.38E-2</v>
          </cell>
        </row>
        <row r="29">
          <cell r="F29">
            <v>8.1199999999999994E-2</v>
          </cell>
        </row>
        <row r="30">
          <cell r="F30">
            <v>1.2E-2</v>
          </cell>
        </row>
        <row r="31">
          <cell r="F31">
            <v>-7.3000000000000001E-3</v>
          </cell>
        </row>
        <row r="32">
          <cell r="F32">
            <v>-1.32E-2</v>
          </cell>
        </row>
        <row r="33">
          <cell r="F33">
            <v>2.23E-2</v>
          </cell>
        </row>
        <row r="34">
          <cell r="F34">
            <v>-1.2500000000000001E-2</v>
          </cell>
        </row>
        <row r="35">
          <cell r="F35">
            <v>3.9699999999999999E-2</v>
          </cell>
        </row>
        <row r="36">
          <cell r="F36">
            <v>2.1499999999999998E-2</v>
          </cell>
        </row>
        <row r="37">
          <cell r="F37">
            <v>-4.9099999999999998E-2</v>
          </cell>
        </row>
        <row r="38">
          <cell r="F38">
            <v>1E-4</v>
          </cell>
        </row>
        <row r="39">
          <cell r="F39">
            <v>3.0999999999999999E-3</v>
          </cell>
        </row>
        <row r="40">
          <cell r="F40">
            <v>-3.8600000000000002E-2</v>
          </cell>
        </row>
        <row r="41">
          <cell r="F41">
            <v>1.0699999999999999E-2</v>
          </cell>
        </row>
        <row r="42">
          <cell r="F42">
            <v>-1.0500000000000001E-2</v>
          </cell>
        </row>
        <row r="43">
          <cell r="F43">
            <v>1.9599999999999999E-2</v>
          </cell>
        </row>
        <row r="44">
          <cell r="F44">
            <v>0.1724</v>
          </cell>
        </row>
        <row r="45">
          <cell r="F45">
            <v>8.8999999999999999E-3</v>
          </cell>
        </row>
        <row r="46">
          <cell r="F46">
            <v>-8.6999999999999994E-3</v>
          </cell>
        </row>
        <row r="47">
          <cell r="F47">
            <v>4.1099999999999998E-2</v>
          </cell>
        </row>
        <row r="48">
          <cell r="F48">
            <v>-2.5899999999999999E-2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新锐股份688257"/>
    </sheetNames>
    <sheetDataSet>
      <sheetData sheetId="0">
        <row r="1">
          <cell r="F1" t="str">
            <v>涨幅</v>
          </cell>
        </row>
        <row r="2">
          <cell r="F2">
            <v>7.5399999999999995E-2</v>
          </cell>
        </row>
        <row r="3">
          <cell r="F3">
            <v>0.1497</v>
          </cell>
        </row>
        <row r="4">
          <cell r="F4">
            <v>-4.2900000000000001E-2</v>
          </cell>
        </row>
        <row r="5">
          <cell r="F5">
            <v>7.3000000000000001E-3</v>
          </cell>
        </row>
        <row r="6">
          <cell r="F6">
            <v>3.85E-2</v>
          </cell>
        </row>
        <row r="7">
          <cell r="F7">
            <v>3.3399999999999999E-2</v>
          </cell>
        </row>
        <row r="8">
          <cell r="F8">
            <v>-1.9300000000000001E-2</v>
          </cell>
        </row>
        <row r="9">
          <cell r="F9">
            <v>6.4600000000000005E-2</v>
          </cell>
        </row>
        <row r="10">
          <cell r="F10">
            <v>9.5999999999999992E-3</v>
          </cell>
        </row>
        <row r="11">
          <cell r="F11">
            <v>5.8999999999999999E-3</v>
          </cell>
        </row>
        <row r="12">
          <cell r="F12">
            <v>-6.5299999999999997E-2</v>
          </cell>
        </row>
        <row r="13">
          <cell r="F13">
            <v>-1.7999999999999999E-2</v>
          </cell>
        </row>
        <row r="14">
          <cell r="F14">
            <v>-4.5400000000000003E-2</v>
          </cell>
        </row>
        <row r="15">
          <cell r="F15">
            <v>1.0800000000000001E-2</v>
          </cell>
        </row>
        <row r="16">
          <cell r="F16">
            <v>-6.6100000000000006E-2</v>
          </cell>
        </row>
        <row r="17">
          <cell r="F17">
            <v>-4.5499999999999999E-2</v>
          </cell>
        </row>
        <row r="18">
          <cell r="F18">
            <v>-6.7799999999999999E-2</v>
          </cell>
        </row>
        <row r="19">
          <cell r="F19">
            <v>5.2299999999999999E-2</v>
          </cell>
        </row>
        <row r="20">
          <cell r="F20">
            <v>8.2100000000000006E-2</v>
          </cell>
        </row>
        <row r="21">
          <cell r="F21">
            <v>-3.27E-2</v>
          </cell>
        </row>
        <row r="22">
          <cell r="F22">
            <v>-7.3000000000000001E-3</v>
          </cell>
        </row>
        <row r="23">
          <cell r="F23">
            <v>0.1157</v>
          </cell>
        </row>
        <row r="24">
          <cell r="F24">
            <v>-4.1000000000000002E-2</v>
          </cell>
        </row>
        <row r="25">
          <cell r="F25">
            <v>1.43E-2</v>
          </cell>
        </row>
        <row r="26">
          <cell r="F26">
            <v>-8.6999999999999994E-2</v>
          </cell>
        </row>
        <row r="27">
          <cell r="F27">
            <v>1.6999999999999999E-3</v>
          </cell>
        </row>
        <row r="28">
          <cell r="F28">
            <v>5.16E-2</v>
          </cell>
        </row>
        <row r="29">
          <cell r="F29">
            <v>5.2299999999999999E-2</v>
          </cell>
        </row>
        <row r="30">
          <cell r="F30">
            <v>2.1000000000000001E-2</v>
          </cell>
        </row>
        <row r="31">
          <cell r="F31">
            <v>-5.1999999999999998E-3</v>
          </cell>
        </row>
        <row r="32">
          <cell r="F32">
            <v>5.4999999999999997E-3</v>
          </cell>
        </row>
        <row r="33">
          <cell r="F33">
            <v>6.4100000000000004E-2</v>
          </cell>
        </row>
        <row r="34">
          <cell r="F34">
            <v>-4.4200000000000003E-2</v>
          </cell>
        </row>
        <row r="35">
          <cell r="F35">
            <v>6.2799999999999995E-2</v>
          </cell>
        </row>
        <row r="36">
          <cell r="F36">
            <v>2.81E-2</v>
          </cell>
        </row>
        <row r="37">
          <cell r="F37">
            <v>-5.5500000000000001E-2</v>
          </cell>
        </row>
        <row r="38">
          <cell r="F38">
            <v>-4.8999999999999998E-3</v>
          </cell>
        </row>
        <row r="39">
          <cell r="F39">
            <v>6.7000000000000002E-3</v>
          </cell>
        </row>
        <row r="40">
          <cell r="F40">
            <v>-3.9699999999999999E-2</v>
          </cell>
        </row>
        <row r="41">
          <cell r="F41">
            <v>-1.03E-2</v>
          </cell>
        </row>
        <row r="42">
          <cell r="F42">
            <v>2.3E-3</v>
          </cell>
        </row>
        <row r="43">
          <cell r="F43">
            <v>1.35E-2</v>
          </cell>
        </row>
        <row r="44">
          <cell r="F44">
            <v>6.6299999999999998E-2</v>
          </cell>
        </row>
        <row r="45">
          <cell r="F45">
            <v>-4.4699999999999997E-2</v>
          </cell>
        </row>
        <row r="46">
          <cell r="F46">
            <v>9.4999999999999998E-3</v>
          </cell>
        </row>
        <row r="47">
          <cell r="F47">
            <v>-5.8999999999999999E-3</v>
          </cell>
        </row>
        <row r="48">
          <cell r="F48">
            <v>-4.2000000000000003E-2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云南锗业002428"/>
    </sheetNames>
    <sheetDataSet>
      <sheetData sheetId="0">
        <row r="1">
          <cell r="F1" t="str">
            <v>涨幅</v>
          </cell>
        </row>
        <row r="2">
          <cell r="F2">
            <v>8.72E-2</v>
          </cell>
        </row>
        <row r="3">
          <cell r="F3">
            <v>-5.3499999999999999E-2</v>
          </cell>
        </row>
        <row r="4">
          <cell r="F4">
            <v>-3.9E-2</v>
          </cell>
        </row>
        <row r="5">
          <cell r="F5">
            <v>1.2500000000000001E-2</v>
          </cell>
        </row>
        <row r="6">
          <cell r="F6">
            <v>-5.7999999999999996E-3</v>
          </cell>
        </row>
        <row r="7">
          <cell r="F7">
            <v>-2.2599999999999999E-2</v>
          </cell>
        </row>
        <row r="8">
          <cell r="F8">
            <v>-1.09E-2</v>
          </cell>
        </row>
        <row r="9">
          <cell r="F9">
            <v>4.4499999999999998E-2</v>
          </cell>
        </row>
        <row r="10">
          <cell r="F10">
            <v>3.09E-2</v>
          </cell>
        </row>
        <row r="11">
          <cell r="F11">
            <v>-1.7999999999999999E-2</v>
          </cell>
        </row>
        <row r="12">
          <cell r="F12">
            <v>-4.0099999999999997E-2</v>
          </cell>
        </row>
        <row r="13">
          <cell r="F13">
            <v>-9.4999999999999998E-3</v>
          </cell>
        </row>
        <row r="14">
          <cell r="F14">
            <v>-6.54E-2</v>
          </cell>
        </row>
        <row r="15">
          <cell r="F15">
            <v>1.52E-2</v>
          </cell>
        </row>
        <row r="16">
          <cell r="F16">
            <v>-3.04E-2</v>
          </cell>
        </row>
        <row r="17">
          <cell r="F17">
            <v>0.1</v>
          </cell>
        </row>
        <row r="18">
          <cell r="F18">
            <v>-6.5799999999999997E-2</v>
          </cell>
        </row>
        <row r="19">
          <cell r="F19">
            <v>0.1</v>
          </cell>
        </row>
        <row r="20">
          <cell r="F20">
            <v>8.4400000000000003E-2</v>
          </cell>
        </row>
        <row r="21">
          <cell r="F21">
            <v>-3.5900000000000001E-2</v>
          </cell>
        </row>
        <row r="22">
          <cell r="F22">
            <v>0.1</v>
          </cell>
        </row>
        <row r="23">
          <cell r="F23">
            <v>1.9300000000000001E-2</v>
          </cell>
        </row>
        <row r="24">
          <cell r="F24">
            <v>-6.5699999999999995E-2</v>
          </cell>
        </row>
        <row r="25">
          <cell r="F25">
            <v>2.0199999999999999E-2</v>
          </cell>
        </row>
        <row r="26">
          <cell r="F26">
            <v>-4.8099999999999997E-2</v>
          </cell>
        </row>
        <row r="27">
          <cell r="F27">
            <v>8.8599999999999998E-2</v>
          </cell>
        </row>
        <row r="28">
          <cell r="F28">
            <v>2.0299999999999999E-2</v>
          </cell>
        </row>
        <row r="29">
          <cell r="F29">
            <v>2.8199999999999999E-2</v>
          </cell>
        </row>
        <row r="30">
          <cell r="F30">
            <v>2.47E-2</v>
          </cell>
        </row>
        <row r="31">
          <cell r="F31">
            <v>2.1600000000000001E-2</v>
          </cell>
        </row>
        <row r="32">
          <cell r="F32">
            <v>-2.92E-2</v>
          </cell>
        </row>
        <row r="33">
          <cell r="F33">
            <v>6.8000000000000005E-2</v>
          </cell>
        </row>
        <row r="34">
          <cell r="F34">
            <v>-2.9399999999999999E-2</v>
          </cell>
        </row>
        <row r="35">
          <cell r="F35">
            <v>-1.38E-2</v>
          </cell>
        </row>
        <row r="36">
          <cell r="F36">
            <v>0.10009999999999999</v>
          </cell>
        </row>
        <row r="37">
          <cell r="F37">
            <v>0.1</v>
          </cell>
        </row>
        <row r="38">
          <cell r="F38">
            <v>2.8999999999999998E-3</v>
          </cell>
        </row>
        <row r="39">
          <cell r="F39">
            <v>0.1</v>
          </cell>
        </row>
        <row r="40">
          <cell r="F40">
            <v>2.18E-2</v>
          </cell>
        </row>
        <row r="41">
          <cell r="F41">
            <v>3.0999999999999999E-3</v>
          </cell>
        </row>
        <row r="42">
          <cell r="F42">
            <v>-5.6000000000000001E-2</v>
          </cell>
        </row>
        <row r="43">
          <cell r="F43">
            <v>-4.2900000000000001E-2</v>
          </cell>
        </row>
        <row r="44">
          <cell r="F44">
            <v>-6.6E-3</v>
          </cell>
        </row>
        <row r="45">
          <cell r="F45">
            <v>1.14E-2</v>
          </cell>
        </row>
        <row r="46">
          <cell r="F46">
            <v>0.1</v>
          </cell>
        </row>
        <row r="47">
          <cell r="F47">
            <v>4.1399999999999999E-2</v>
          </cell>
        </row>
        <row r="48">
          <cell r="F48">
            <v>7.4800000000000005E-2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华鲁恒升600426"/>
    </sheetNames>
    <sheetDataSet>
      <sheetData sheetId="0">
        <row r="1">
          <cell r="F1" t="str">
            <v>涨幅</v>
          </cell>
        </row>
        <row r="2">
          <cell r="F2">
            <v>-2.6800000000000001E-2</v>
          </cell>
        </row>
        <row r="3">
          <cell r="F3">
            <v>4.1500000000000002E-2</v>
          </cell>
        </row>
        <row r="4">
          <cell r="F4">
            <v>-4.2500000000000003E-2</v>
          </cell>
        </row>
        <row r="5">
          <cell r="F5">
            <v>-3.9800000000000002E-2</v>
          </cell>
        </row>
        <row r="6">
          <cell r="F6">
            <v>6.8900000000000003E-2</v>
          </cell>
        </row>
        <row r="7">
          <cell r="F7">
            <v>2.5899999999999999E-2</v>
          </cell>
        </row>
        <row r="8">
          <cell r="F8">
            <v>4.4000000000000003E-3</v>
          </cell>
        </row>
        <row r="9">
          <cell r="F9">
            <v>-5.3100000000000001E-2</v>
          </cell>
        </row>
        <row r="10">
          <cell r="F10">
            <v>-4.7899999999999998E-2</v>
          </cell>
        </row>
        <row r="11">
          <cell r="F11">
            <v>1.26E-2</v>
          </cell>
        </row>
        <row r="12">
          <cell r="F12">
            <v>-3.5700000000000003E-2</v>
          </cell>
        </row>
        <row r="13">
          <cell r="F13">
            <v>-2.47E-2</v>
          </cell>
        </row>
        <row r="14">
          <cell r="F14">
            <v>1.18E-2</v>
          </cell>
        </row>
        <row r="15">
          <cell r="F15">
            <v>-2.8899999999999999E-2</v>
          </cell>
        </row>
        <row r="16">
          <cell r="F16">
            <v>-5.1999999999999998E-3</v>
          </cell>
        </row>
        <row r="17">
          <cell r="F17">
            <v>1.5800000000000002E-2</v>
          </cell>
        </row>
        <row r="18">
          <cell r="F18">
            <v>2.86E-2</v>
          </cell>
        </row>
        <row r="19">
          <cell r="F19">
            <v>2.3699999999999999E-2</v>
          </cell>
        </row>
        <row r="20">
          <cell r="F20">
            <v>-2.6100000000000002E-2</v>
          </cell>
        </row>
        <row r="21">
          <cell r="F21">
            <v>8.3000000000000001E-3</v>
          </cell>
        </row>
        <row r="22">
          <cell r="F22">
            <v>-2.3800000000000002E-2</v>
          </cell>
        </row>
        <row r="23">
          <cell r="F23">
            <v>-1.49E-2</v>
          </cell>
        </row>
        <row r="24">
          <cell r="F24">
            <v>9.4299999999999995E-2</v>
          </cell>
        </row>
        <row r="25">
          <cell r="F25">
            <v>-2.9999999999999997E-4</v>
          </cell>
        </row>
        <row r="26">
          <cell r="F26">
            <v>9.1000000000000004E-3</v>
          </cell>
        </row>
        <row r="27">
          <cell r="F27">
            <v>-1.52E-2</v>
          </cell>
        </row>
        <row r="28">
          <cell r="F28">
            <v>1.0500000000000001E-2</v>
          </cell>
        </row>
        <row r="29">
          <cell r="F29">
            <v>-3.32E-2</v>
          </cell>
        </row>
        <row r="30">
          <cell r="F30">
            <v>-4.6399999999999997E-2</v>
          </cell>
        </row>
        <row r="31">
          <cell r="F31">
            <v>4.7999999999999996E-3</v>
          </cell>
        </row>
        <row r="32">
          <cell r="F32">
            <v>-1.06E-2</v>
          </cell>
        </row>
        <row r="33">
          <cell r="F33">
            <v>-8.8000000000000005E-3</v>
          </cell>
        </row>
        <row r="34">
          <cell r="F34">
            <v>7.1000000000000004E-3</v>
          </cell>
        </row>
        <row r="35">
          <cell r="F35">
            <v>1.2500000000000001E-2</v>
          </cell>
        </row>
        <row r="36">
          <cell r="F36">
            <v>1.7100000000000001E-2</v>
          </cell>
        </row>
        <row r="37">
          <cell r="F37">
            <v>3.5499999999999997E-2</v>
          </cell>
        </row>
        <row r="38">
          <cell r="F38">
            <v>8.5000000000000006E-3</v>
          </cell>
        </row>
        <row r="39">
          <cell r="F39">
            <v>2.7699999999999999E-2</v>
          </cell>
        </row>
        <row r="40">
          <cell r="F40">
            <v>5.1000000000000004E-3</v>
          </cell>
        </row>
        <row r="41">
          <cell r="F41">
            <v>-1.7600000000000001E-2</v>
          </cell>
        </row>
        <row r="42">
          <cell r="F42">
            <v>1.8E-3</v>
          </cell>
        </row>
        <row r="43">
          <cell r="F43">
            <v>-6.3500000000000001E-2</v>
          </cell>
        </row>
        <row r="44">
          <cell r="F44">
            <v>-1.2200000000000001E-2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湖北宜化000422"/>
    </sheetNames>
    <sheetDataSet>
      <sheetData sheetId="0">
        <row r="1">
          <cell r="F1" t="str">
            <v>涨幅</v>
          </cell>
        </row>
        <row r="2">
          <cell r="F2">
            <v>-1.9099999999999999E-2</v>
          </cell>
        </row>
        <row r="3">
          <cell r="F3">
            <v>4.2299999999999997E-2</v>
          </cell>
        </row>
        <row r="4">
          <cell r="F4">
            <v>3.3E-3</v>
          </cell>
        </row>
        <row r="5">
          <cell r="F5">
            <v>-3.9899999999999998E-2</v>
          </cell>
        </row>
        <row r="6">
          <cell r="F6">
            <v>4.7300000000000002E-2</v>
          </cell>
        </row>
        <row r="7">
          <cell r="F7">
            <v>5.7700000000000001E-2</v>
          </cell>
        </row>
        <row r="8">
          <cell r="F8">
            <v>-3.0999999999999999E-3</v>
          </cell>
        </row>
        <row r="9">
          <cell r="F9">
            <v>-4.7500000000000001E-2</v>
          </cell>
        </row>
        <row r="10">
          <cell r="F10">
            <v>-3.6799999999999999E-2</v>
          </cell>
        </row>
        <row r="11">
          <cell r="F11">
            <v>-2.4199999999999999E-2</v>
          </cell>
        </row>
        <row r="12">
          <cell r="F12">
            <v>-5.0099999999999999E-2</v>
          </cell>
        </row>
        <row r="13">
          <cell r="F13">
            <v>-4.07E-2</v>
          </cell>
        </row>
        <row r="14">
          <cell r="F14">
            <v>7.8399999999999997E-2</v>
          </cell>
        </row>
        <row r="15">
          <cell r="F15">
            <v>-2.64E-2</v>
          </cell>
        </row>
        <row r="16">
          <cell r="F16">
            <v>2.0500000000000001E-2</v>
          </cell>
        </row>
        <row r="17">
          <cell r="F17">
            <v>-1.2999999999999999E-2</v>
          </cell>
        </row>
        <row r="18">
          <cell r="F18">
            <v>3.2899999999999999E-2</v>
          </cell>
        </row>
        <row r="19">
          <cell r="F19">
            <v>1.1999999999999999E-3</v>
          </cell>
        </row>
        <row r="20">
          <cell r="F20">
            <v>-4.9200000000000001E-2</v>
          </cell>
        </row>
        <row r="21">
          <cell r="F21">
            <v>-8.5000000000000006E-3</v>
          </cell>
        </row>
        <row r="22">
          <cell r="F22">
            <v>-3.1300000000000001E-2</v>
          </cell>
        </row>
        <row r="23">
          <cell r="F23">
            <v>-3.6700000000000003E-2</v>
          </cell>
        </row>
        <row r="24">
          <cell r="F24">
            <v>5.1900000000000002E-2</v>
          </cell>
        </row>
        <row r="25">
          <cell r="F25">
            <v>2.5000000000000001E-3</v>
          </cell>
        </row>
        <row r="26">
          <cell r="F26">
            <v>-2.5000000000000001E-3</v>
          </cell>
        </row>
        <row r="27">
          <cell r="F27">
            <v>3.8E-3</v>
          </cell>
        </row>
        <row r="28">
          <cell r="F28">
            <v>3.7000000000000002E-3</v>
          </cell>
        </row>
        <row r="29">
          <cell r="F29">
            <v>-4.3E-3</v>
          </cell>
        </row>
        <row r="30">
          <cell r="F30">
            <v>-3.3599999999999998E-2</v>
          </cell>
        </row>
        <row r="31">
          <cell r="F31">
            <v>2.64E-2</v>
          </cell>
        </row>
        <row r="32">
          <cell r="F32">
            <v>-5.7000000000000002E-3</v>
          </cell>
        </row>
        <row r="33">
          <cell r="F33">
            <v>0</v>
          </cell>
        </row>
        <row r="34">
          <cell r="F34">
            <v>2.7199999999999998E-2</v>
          </cell>
        </row>
        <row r="35">
          <cell r="F35">
            <v>2.64E-2</v>
          </cell>
        </row>
        <row r="36">
          <cell r="F36">
            <v>-2.46E-2</v>
          </cell>
        </row>
        <row r="37">
          <cell r="F37">
            <v>1.41E-2</v>
          </cell>
        </row>
        <row r="38">
          <cell r="F38">
            <v>-2.5399999999999999E-2</v>
          </cell>
        </row>
        <row r="39">
          <cell r="F39">
            <v>5.0299999999999997E-2</v>
          </cell>
        </row>
        <row r="40">
          <cell r="F40">
            <v>1.0699999999999999E-2</v>
          </cell>
        </row>
        <row r="41">
          <cell r="F41">
            <v>-1.0500000000000001E-2</v>
          </cell>
        </row>
        <row r="42">
          <cell r="F42">
            <v>-8.8999999999999999E-3</v>
          </cell>
        </row>
        <row r="43">
          <cell r="F43">
            <v>-3.9399999999999998E-2</v>
          </cell>
        </row>
        <row r="44">
          <cell r="F44">
            <v>2.3599999999999999E-2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华灿光电300323"/>
    </sheetNames>
    <sheetDataSet>
      <sheetData sheetId="0">
        <row r="1">
          <cell r="F1" t="str">
            <v>涨幅</v>
          </cell>
        </row>
        <row r="2">
          <cell r="F2">
            <v>0.16489999999999999</v>
          </cell>
        </row>
        <row r="3">
          <cell r="F3">
            <v>-1.9300000000000001E-2</v>
          </cell>
        </row>
        <row r="4">
          <cell r="F4">
            <v>-6.3200000000000006E-2</v>
          </cell>
        </row>
        <row r="5">
          <cell r="F5">
            <v>7.2900000000000006E-2</v>
          </cell>
        </row>
        <row r="6">
          <cell r="F6">
            <v>0.13930000000000001</v>
          </cell>
        </row>
        <row r="7">
          <cell r="F7">
            <v>-2.5399999999999999E-2</v>
          </cell>
        </row>
        <row r="8">
          <cell r="F8">
            <v>-3.2099999999999997E-2</v>
          </cell>
        </row>
        <row r="9">
          <cell r="F9">
            <v>-0.1154</v>
          </cell>
        </row>
        <row r="10">
          <cell r="F10">
            <v>-6.3E-3</v>
          </cell>
        </row>
        <row r="11">
          <cell r="F11">
            <v>-3.0599999999999999E-2</v>
          </cell>
        </row>
        <row r="12">
          <cell r="F12">
            <v>1.67E-2</v>
          </cell>
        </row>
        <row r="13">
          <cell r="F13">
            <v>-0.1022</v>
          </cell>
        </row>
        <row r="14">
          <cell r="F14">
            <v>3.3500000000000002E-2</v>
          </cell>
        </row>
        <row r="15">
          <cell r="F15">
            <v>3.8999999999999998E-3</v>
          </cell>
        </row>
        <row r="16">
          <cell r="F16">
            <v>-4.2099999999999999E-2</v>
          </cell>
        </row>
        <row r="17">
          <cell r="F17">
            <v>1.6400000000000001E-2</v>
          </cell>
        </row>
        <row r="18">
          <cell r="F18">
            <v>-3.0000000000000001E-3</v>
          </cell>
        </row>
        <row r="19">
          <cell r="F19">
            <v>-2.7199999999999998E-2</v>
          </cell>
        </row>
        <row r="20">
          <cell r="F20">
            <v>1.24E-2</v>
          </cell>
        </row>
        <row r="21">
          <cell r="F21">
            <v>-3.0700000000000002E-2</v>
          </cell>
        </row>
        <row r="22">
          <cell r="F22">
            <v>-1.6899999999999998E-2</v>
          </cell>
        </row>
        <row r="23">
          <cell r="F23">
            <v>-6.4999999999999997E-3</v>
          </cell>
        </row>
        <row r="24">
          <cell r="F24">
            <v>8.4400000000000003E-2</v>
          </cell>
        </row>
        <row r="25">
          <cell r="F25">
            <v>-3.0000000000000001E-3</v>
          </cell>
        </row>
        <row r="26">
          <cell r="F26">
            <v>-0.01</v>
          </cell>
        </row>
        <row r="27">
          <cell r="F27">
            <v>1.6199999999999999E-2</v>
          </cell>
        </row>
        <row r="28">
          <cell r="F28">
            <v>-7.0000000000000001E-3</v>
          </cell>
        </row>
        <row r="29">
          <cell r="F29">
            <v>-0.01</v>
          </cell>
        </row>
        <row r="30">
          <cell r="F30">
            <v>5.1000000000000004E-3</v>
          </cell>
        </row>
        <row r="31">
          <cell r="F31">
            <v>3.32E-2</v>
          </cell>
        </row>
        <row r="32">
          <cell r="F32">
            <v>6.2399999999999997E-2</v>
          </cell>
        </row>
        <row r="33">
          <cell r="F33">
            <v>-4.5999999999999999E-3</v>
          </cell>
        </row>
        <row r="34">
          <cell r="F34">
            <v>3.2300000000000002E-2</v>
          </cell>
        </row>
        <row r="35">
          <cell r="F35">
            <v>-4.7300000000000002E-2</v>
          </cell>
        </row>
        <row r="36">
          <cell r="F36">
            <v>1.41E-2</v>
          </cell>
        </row>
        <row r="37">
          <cell r="F37">
            <v>3.6999999999999998E-2</v>
          </cell>
        </row>
        <row r="38">
          <cell r="F38">
            <v>-3.8300000000000001E-2</v>
          </cell>
        </row>
        <row r="39">
          <cell r="F39">
            <v>6.6699999999999995E-2</v>
          </cell>
        </row>
        <row r="40">
          <cell r="F40">
            <v>5.1299999999999998E-2</v>
          </cell>
        </row>
        <row r="41">
          <cell r="F41">
            <v>1.5699999999999999E-2</v>
          </cell>
        </row>
        <row r="42">
          <cell r="F42">
            <v>3.7400000000000003E-2</v>
          </cell>
        </row>
        <row r="43">
          <cell r="F43">
            <v>2.4299999999999999E-2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新相微688593"/>
    </sheetNames>
    <sheetDataSet>
      <sheetData sheetId="0">
        <row r="1">
          <cell r="F1" t="str">
            <v>涨幅</v>
          </cell>
        </row>
        <row r="2">
          <cell r="F2">
            <v>-3.49E-2</v>
          </cell>
        </row>
        <row r="3">
          <cell r="F3">
            <v>-1.1999999999999999E-3</v>
          </cell>
        </row>
        <row r="4">
          <cell r="F4">
            <v>6.4999999999999997E-3</v>
          </cell>
        </row>
        <row r="5">
          <cell r="F5">
            <v>-3.9199999999999999E-2</v>
          </cell>
        </row>
        <row r="6">
          <cell r="F6">
            <v>1.67E-2</v>
          </cell>
        </row>
        <row r="7">
          <cell r="F7">
            <v>1.9800000000000002E-2</v>
          </cell>
        </row>
        <row r="8">
          <cell r="F8">
            <v>3.2000000000000002E-3</v>
          </cell>
        </row>
        <row r="9">
          <cell r="F9">
            <v>-1.38E-2</v>
          </cell>
        </row>
        <row r="10">
          <cell r="F10">
            <v>2.4E-2</v>
          </cell>
        </row>
        <row r="11">
          <cell r="F11">
            <v>-5.3900000000000003E-2</v>
          </cell>
        </row>
        <row r="12">
          <cell r="F12">
            <v>-6.0400000000000002E-2</v>
          </cell>
        </row>
        <row r="13">
          <cell r="F13">
            <v>-6.4199999999999993E-2</v>
          </cell>
        </row>
        <row r="14">
          <cell r="F14">
            <v>2.7900000000000001E-2</v>
          </cell>
        </row>
        <row r="15">
          <cell r="F15">
            <v>1.9E-2</v>
          </cell>
        </row>
        <row r="16">
          <cell r="F16">
            <v>-3.5299999999999998E-2</v>
          </cell>
        </row>
        <row r="17">
          <cell r="F17">
            <v>3.1399999999999997E-2</v>
          </cell>
        </row>
        <row r="18">
          <cell r="F18">
            <v>-8.3999999999999995E-3</v>
          </cell>
        </row>
        <row r="19">
          <cell r="F19">
            <v>-2E-3</v>
          </cell>
        </row>
        <row r="20">
          <cell r="F20">
            <v>3.3099999999999997E-2</v>
          </cell>
        </row>
        <row r="21">
          <cell r="F21">
            <v>-6.0199999999999997E-2</v>
          </cell>
        </row>
        <row r="22">
          <cell r="F22">
            <v>-2.0999999999999999E-3</v>
          </cell>
        </row>
        <row r="23">
          <cell r="F23">
            <v>-5.8999999999999999E-3</v>
          </cell>
        </row>
        <row r="24">
          <cell r="F24">
            <v>8.6599999999999996E-2</v>
          </cell>
        </row>
        <row r="25">
          <cell r="F25">
            <v>3.39E-2</v>
          </cell>
        </row>
        <row r="26">
          <cell r="F26">
            <v>5.3E-3</v>
          </cell>
        </row>
        <row r="27">
          <cell r="F27">
            <v>7.7999999999999996E-3</v>
          </cell>
        </row>
        <row r="28">
          <cell r="F28">
            <v>-8.3000000000000001E-3</v>
          </cell>
        </row>
        <row r="29">
          <cell r="F29">
            <v>-3.1099999999999999E-2</v>
          </cell>
        </row>
        <row r="30">
          <cell r="F30">
            <v>3.7499999999999999E-2</v>
          </cell>
        </row>
        <row r="31">
          <cell r="F31">
            <v>-3.9600000000000003E-2</v>
          </cell>
        </row>
        <row r="32">
          <cell r="F32">
            <v>3.2500000000000001E-2</v>
          </cell>
        </row>
        <row r="33">
          <cell r="F33">
            <v>-1.09E-2</v>
          </cell>
        </row>
        <row r="34">
          <cell r="F34">
            <v>-5.0000000000000001E-3</v>
          </cell>
        </row>
        <row r="35">
          <cell r="F35">
            <v>-3.5000000000000001E-3</v>
          </cell>
        </row>
        <row r="36">
          <cell r="F36">
            <v>-6.0000000000000001E-3</v>
          </cell>
        </row>
        <row r="37">
          <cell r="F37">
            <v>9.5600000000000004E-2</v>
          </cell>
        </row>
        <row r="38">
          <cell r="F38">
            <v>-9.98E-2</v>
          </cell>
        </row>
        <row r="39">
          <cell r="F39">
            <v>7.7999999999999996E-3</v>
          </cell>
        </row>
        <row r="40">
          <cell r="F40">
            <v>5.9799999999999999E-2</v>
          </cell>
        </row>
        <row r="41">
          <cell r="F41">
            <v>4.2500000000000003E-2</v>
          </cell>
        </row>
        <row r="42">
          <cell r="F42">
            <v>0.16309999999999999</v>
          </cell>
        </row>
        <row r="43">
          <cell r="F43">
            <v>-4.8800000000000003E-2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利亚德300296"/>
    </sheetNames>
    <sheetDataSet>
      <sheetData sheetId="0">
        <row r="1">
          <cell r="F1" t="str">
            <v>涨幅</v>
          </cell>
        </row>
        <row r="2">
          <cell r="F2">
            <v>-6.4600000000000005E-2</v>
          </cell>
        </row>
        <row r="3">
          <cell r="F3">
            <v>-7.0000000000000001E-3</v>
          </cell>
        </row>
        <row r="4">
          <cell r="F4">
            <v>7.1000000000000004E-3</v>
          </cell>
        </row>
        <row r="5">
          <cell r="F5">
            <v>2.46E-2</v>
          </cell>
        </row>
        <row r="6">
          <cell r="F6">
            <v>4.5999999999999999E-3</v>
          </cell>
        </row>
        <row r="7">
          <cell r="F7">
            <v>4.6600000000000003E-2</v>
          </cell>
        </row>
        <row r="8">
          <cell r="F8">
            <v>-3.7999999999999999E-2</v>
          </cell>
        </row>
        <row r="9">
          <cell r="F9">
            <v>-3.95E-2</v>
          </cell>
        </row>
        <row r="10">
          <cell r="F10">
            <v>0.02</v>
          </cell>
        </row>
        <row r="11">
          <cell r="F11">
            <v>-3.5700000000000003E-2</v>
          </cell>
        </row>
        <row r="12">
          <cell r="F12">
            <v>-4.9000000000000002E-2</v>
          </cell>
        </row>
        <row r="13">
          <cell r="F13">
            <v>-4.3999999999999997E-2</v>
          </cell>
        </row>
        <row r="14">
          <cell r="F14">
            <v>1.7100000000000001E-2</v>
          </cell>
        </row>
        <row r="15">
          <cell r="F15">
            <v>5.1999999999999998E-3</v>
          </cell>
        </row>
        <row r="16">
          <cell r="F16">
            <v>-5.1400000000000001E-2</v>
          </cell>
        </row>
        <row r="17">
          <cell r="F17">
            <v>9.4999999999999998E-3</v>
          </cell>
        </row>
        <row r="18">
          <cell r="F18">
            <v>-1.0699999999999999E-2</v>
          </cell>
        </row>
        <row r="19">
          <cell r="F19">
            <v>-2.8500000000000001E-2</v>
          </cell>
        </row>
        <row r="20">
          <cell r="F20">
            <v>3.3500000000000002E-2</v>
          </cell>
        </row>
        <row r="21">
          <cell r="F21">
            <v>-2.0299999999999999E-2</v>
          </cell>
        </row>
        <row r="22">
          <cell r="F22">
            <v>-8.3000000000000001E-3</v>
          </cell>
        </row>
        <row r="23">
          <cell r="F23">
            <v>-7.0000000000000001E-3</v>
          </cell>
        </row>
        <row r="24">
          <cell r="F24">
            <v>8.1199999999999994E-2</v>
          </cell>
        </row>
        <row r="25">
          <cell r="F25">
            <v>-1.9400000000000001E-2</v>
          </cell>
        </row>
        <row r="26">
          <cell r="F26">
            <v>1.2999999999999999E-3</v>
          </cell>
        </row>
        <row r="27">
          <cell r="F27">
            <v>-1.2999999999999999E-3</v>
          </cell>
        </row>
        <row r="28">
          <cell r="F28">
            <v>2.64E-2</v>
          </cell>
        </row>
        <row r="29">
          <cell r="F29">
            <v>-1.03E-2</v>
          </cell>
        </row>
        <row r="30">
          <cell r="F30">
            <v>-2.5999999999999999E-3</v>
          </cell>
        </row>
        <row r="31">
          <cell r="F31">
            <v>1.17E-2</v>
          </cell>
        </row>
        <row r="32">
          <cell r="F32">
            <v>-1.2999999999999999E-3</v>
          </cell>
        </row>
        <row r="33">
          <cell r="F33">
            <v>-7.7000000000000002E-3</v>
          </cell>
        </row>
        <row r="34">
          <cell r="F34">
            <v>2.9899999999999999E-2</v>
          </cell>
        </row>
        <row r="35">
          <cell r="F35">
            <v>-4.0399999999999998E-2</v>
          </cell>
        </row>
        <row r="36">
          <cell r="F36">
            <v>-0.12239999999999999</v>
          </cell>
        </row>
        <row r="37">
          <cell r="F37">
            <v>-1.6500000000000001E-2</v>
          </cell>
        </row>
        <row r="38">
          <cell r="F38">
            <v>-3.2000000000000001E-2</v>
          </cell>
        </row>
        <row r="39">
          <cell r="F39">
            <v>7.9000000000000008E-3</v>
          </cell>
        </row>
        <row r="40">
          <cell r="F40">
            <v>-6.3E-3</v>
          </cell>
        </row>
        <row r="41">
          <cell r="F41">
            <v>1.5699999999999999E-2</v>
          </cell>
        </row>
        <row r="42">
          <cell r="F42">
            <v>1.8599999999999998E-2</v>
          </cell>
        </row>
        <row r="43">
          <cell r="F43">
            <v>1.8200000000000001E-2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兆驰股份002429"/>
    </sheetNames>
    <sheetDataSet>
      <sheetData sheetId="0">
        <row r="1">
          <cell r="F1" t="str">
            <v>涨幅</v>
          </cell>
        </row>
        <row r="2">
          <cell r="F2">
            <v>3.7199999999999997E-2</v>
          </cell>
        </row>
        <row r="3">
          <cell r="F3">
            <v>-8.4000000000000005E-2</v>
          </cell>
        </row>
        <row r="4">
          <cell r="F4">
            <v>3.3000000000000002E-2</v>
          </cell>
        </row>
        <row r="5">
          <cell r="F5">
            <v>6.88E-2</v>
          </cell>
        </row>
        <row r="6">
          <cell r="F6">
            <v>1.21E-2</v>
          </cell>
        </row>
        <row r="7">
          <cell r="F7">
            <v>0.10050000000000001</v>
          </cell>
        </row>
        <row r="8">
          <cell r="F8">
            <v>-5.11E-2</v>
          </cell>
        </row>
        <row r="9">
          <cell r="F9">
            <v>-8.8300000000000003E-2</v>
          </cell>
        </row>
        <row r="10">
          <cell r="F10">
            <v>1.7399999999999999E-2</v>
          </cell>
        </row>
        <row r="11">
          <cell r="F11">
            <v>-0.04</v>
          </cell>
        </row>
        <row r="12">
          <cell r="F12">
            <v>-7.9000000000000008E-3</v>
          </cell>
        </row>
        <row r="13">
          <cell r="F13">
            <v>-8.5900000000000004E-2</v>
          </cell>
        </row>
        <row r="14">
          <cell r="F14">
            <v>2.8400000000000002E-2</v>
          </cell>
        </row>
        <row r="15">
          <cell r="F15">
            <v>4.1399999999999999E-2</v>
          </cell>
        </row>
        <row r="16">
          <cell r="F16">
            <v>-1.6299999999999999E-2</v>
          </cell>
        </row>
        <row r="17">
          <cell r="F17">
            <v>7.3000000000000001E-3</v>
          </cell>
        </row>
        <row r="18">
          <cell r="F18">
            <v>5.1000000000000004E-3</v>
          </cell>
        </row>
        <row r="19">
          <cell r="F19">
            <v>-3.0700000000000002E-2</v>
          </cell>
        </row>
        <row r="20">
          <cell r="F20">
            <v>3.1699999999999999E-2</v>
          </cell>
        </row>
        <row r="21">
          <cell r="F21">
            <v>-2.46E-2</v>
          </cell>
        </row>
        <row r="22">
          <cell r="F22">
            <v>3.2000000000000002E-3</v>
          </cell>
        </row>
        <row r="23">
          <cell r="F23">
            <v>-6.3E-3</v>
          </cell>
        </row>
        <row r="24">
          <cell r="F24">
            <v>7.8E-2</v>
          </cell>
        </row>
        <row r="25">
          <cell r="F25">
            <v>0</v>
          </cell>
        </row>
        <row r="26">
          <cell r="F26">
            <v>-1E-3</v>
          </cell>
        </row>
        <row r="27">
          <cell r="F27">
            <v>1.37E-2</v>
          </cell>
        </row>
        <row r="28">
          <cell r="F28">
            <v>1.1599999999999999E-2</v>
          </cell>
        </row>
        <row r="29">
          <cell r="F29">
            <v>-2.58E-2</v>
          </cell>
        </row>
        <row r="30">
          <cell r="F30">
            <v>-3.8999999999999998E-3</v>
          </cell>
        </row>
        <row r="31">
          <cell r="F31">
            <v>4.9200000000000001E-2</v>
          </cell>
        </row>
        <row r="32">
          <cell r="F32">
            <v>2.7199999999999998E-2</v>
          </cell>
        </row>
        <row r="33">
          <cell r="F33">
            <v>2.7000000000000001E-3</v>
          </cell>
        </row>
        <row r="34">
          <cell r="F34">
            <v>8.3699999999999997E-2</v>
          </cell>
        </row>
        <row r="35">
          <cell r="F35">
            <v>9.9900000000000003E-2</v>
          </cell>
        </row>
        <row r="36">
          <cell r="F36">
            <v>-0.1</v>
          </cell>
        </row>
        <row r="37">
          <cell r="F37">
            <v>9.2999999999999992E-3</v>
          </cell>
        </row>
        <row r="38">
          <cell r="F38">
            <v>-4.6199999999999998E-2</v>
          </cell>
        </row>
        <row r="39">
          <cell r="F39">
            <v>-7.9000000000000008E-3</v>
          </cell>
        </row>
        <row r="40">
          <cell r="F40">
            <v>-1.8700000000000001E-2</v>
          </cell>
        </row>
        <row r="41">
          <cell r="F41">
            <v>3.7100000000000001E-2</v>
          </cell>
        </row>
        <row r="42">
          <cell r="F42">
            <v>5.4100000000000002E-2</v>
          </cell>
        </row>
        <row r="43">
          <cell r="F43">
            <v>3.56E-2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三安光电600703"/>
    </sheetNames>
    <sheetDataSet>
      <sheetData sheetId="0">
        <row r="1">
          <cell r="F1" t="str">
            <v>涨幅</v>
          </cell>
        </row>
        <row r="2">
          <cell r="F2">
            <v>5.21E-2</v>
          </cell>
        </row>
        <row r="3">
          <cell r="F3">
            <v>-3.4799999999999998E-2</v>
          </cell>
        </row>
        <row r="4">
          <cell r="F4">
            <v>-1.6500000000000001E-2</v>
          </cell>
        </row>
        <row r="5">
          <cell r="F5">
            <v>5.7700000000000001E-2</v>
          </cell>
        </row>
        <row r="6">
          <cell r="F6">
            <v>9.98E-2</v>
          </cell>
        </row>
        <row r="7">
          <cell r="F7">
            <v>-3.2000000000000001E-2</v>
          </cell>
        </row>
        <row r="8">
          <cell r="F8">
            <v>-1.8700000000000001E-2</v>
          </cell>
        </row>
        <row r="9">
          <cell r="F9">
            <v>-6.9699999999999998E-2</v>
          </cell>
        </row>
        <row r="10">
          <cell r="F10">
            <v>1.8700000000000001E-2</v>
          </cell>
        </row>
        <row r="11">
          <cell r="F11">
            <v>-1.6E-2</v>
          </cell>
        </row>
        <row r="12">
          <cell r="F12">
            <v>-3.5999999999999999E-3</v>
          </cell>
        </row>
        <row r="13">
          <cell r="F13">
            <v>-9.98E-2</v>
          </cell>
        </row>
        <row r="14">
          <cell r="F14">
            <v>-6.9800000000000001E-2</v>
          </cell>
        </row>
        <row r="15">
          <cell r="F15">
            <v>7.9000000000000008E-3</v>
          </cell>
        </row>
        <row r="16">
          <cell r="F16">
            <v>-7.5200000000000003E-2</v>
          </cell>
        </row>
        <row r="17">
          <cell r="F17">
            <v>-2.7099999999999999E-2</v>
          </cell>
        </row>
        <row r="18">
          <cell r="F18">
            <v>-3.1099999999999999E-2</v>
          </cell>
        </row>
        <row r="19">
          <cell r="F19">
            <v>-4.1099999999999998E-2</v>
          </cell>
        </row>
        <row r="20">
          <cell r="F20">
            <v>1.54E-2</v>
          </cell>
        </row>
        <row r="21">
          <cell r="F21">
            <v>-3.7999999999999999E-2</v>
          </cell>
        </row>
        <row r="22">
          <cell r="F22">
            <v>2.1899999999999999E-2</v>
          </cell>
        </row>
        <row r="23">
          <cell r="F23">
            <v>3.1800000000000002E-2</v>
          </cell>
        </row>
        <row r="24">
          <cell r="F24">
            <v>3.2399999999999998E-2</v>
          </cell>
        </row>
        <row r="25">
          <cell r="F25">
            <v>-4.5900000000000003E-2</v>
          </cell>
        </row>
        <row r="26">
          <cell r="F26">
            <v>8.3999999999999995E-3</v>
          </cell>
        </row>
        <row r="27">
          <cell r="F27">
            <v>4.2700000000000002E-2</v>
          </cell>
        </row>
        <row r="28">
          <cell r="F28">
            <v>-1.8499999999999999E-2</v>
          </cell>
        </row>
        <row r="29">
          <cell r="F29">
            <v>-6.4999999999999997E-3</v>
          </cell>
        </row>
        <row r="30">
          <cell r="F30">
            <v>-8.0000000000000004E-4</v>
          </cell>
        </row>
        <row r="31">
          <cell r="F31">
            <v>9.98E-2</v>
          </cell>
        </row>
        <row r="32">
          <cell r="F32">
            <v>2.3199999999999998E-2</v>
          </cell>
        </row>
        <row r="33">
          <cell r="F33">
            <v>-5.1000000000000004E-3</v>
          </cell>
        </row>
        <row r="34">
          <cell r="F34">
            <v>0.10009999999999999</v>
          </cell>
        </row>
        <row r="35">
          <cell r="F35">
            <v>3.8199999999999998E-2</v>
          </cell>
        </row>
        <row r="36">
          <cell r="F36">
            <v>-2.58E-2</v>
          </cell>
        </row>
        <row r="37">
          <cell r="F37">
            <v>-2.5100000000000001E-2</v>
          </cell>
        </row>
        <row r="38">
          <cell r="F38">
            <v>-5.0200000000000002E-2</v>
          </cell>
        </row>
        <row r="39">
          <cell r="F39">
            <v>-3.5999999999999999E-3</v>
          </cell>
        </row>
        <row r="40">
          <cell r="F40">
            <v>-1.9400000000000001E-2</v>
          </cell>
        </row>
        <row r="41">
          <cell r="F41">
            <v>7.3899999999999993E-2</v>
          </cell>
        </row>
        <row r="42">
          <cell r="F42">
            <v>3.1300000000000001E-2</v>
          </cell>
        </row>
        <row r="43">
          <cell r="F43">
            <v>1.06E-2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乾照光电300102"/>
    </sheetNames>
    <sheetDataSet>
      <sheetData sheetId="0">
        <row r="1">
          <cell r="F1" t="str">
            <v>涨幅</v>
          </cell>
        </row>
        <row r="2">
          <cell r="F2">
            <v>-4.3099999999999999E-2</v>
          </cell>
        </row>
        <row r="3">
          <cell r="F3">
            <v>-1.3899999999999999E-2</v>
          </cell>
        </row>
        <row r="4">
          <cell r="F4">
            <v>2.24E-2</v>
          </cell>
        </row>
        <row r="5">
          <cell r="F5">
            <v>-3.32E-2</v>
          </cell>
        </row>
        <row r="6">
          <cell r="F6">
            <v>-2.2700000000000001E-2</v>
          </cell>
        </row>
        <row r="7">
          <cell r="F7">
            <v>-3.1800000000000002E-2</v>
          </cell>
        </row>
        <row r="8">
          <cell r="F8">
            <v>1.5E-3</v>
          </cell>
        </row>
        <row r="9">
          <cell r="F9">
            <v>-3.5299999999999998E-2</v>
          </cell>
        </row>
        <row r="10">
          <cell r="F10">
            <v>4.2900000000000001E-2</v>
          </cell>
        </row>
        <row r="11">
          <cell r="F11">
            <v>-1.7999999999999999E-2</v>
          </cell>
        </row>
        <row r="12">
          <cell r="F12">
            <v>8.6999999999999994E-3</v>
          </cell>
        </row>
        <row r="13">
          <cell r="F13">
            <v>-8.0000000000000002E-3</v>
          </cell>
        </row>
        <row r="14">
          <cell r="F14">
            <v>-3.04E-2</v>
          </cell>
        </row>
        <row r="15">
          <cell r="F15">
            <v>-6.7000000000000002E-3</v>
          </cell>
        </row>
        <row r="16">
          <cell r="F16">
            <v>-2.7699999999999999E-2</v>
          </cell>
        </row>
        <row r="17">
          <cell r="F17">
            <v>4.5999999999999999E-3</v>
          </cell>
        </row>
        <row r="18">
          <cell r="F18">
            <v>2.5100000000000001E-2</v>
          </cell>
        </row>
        <row r="19">
          <cell r="F19">
            <v>3.9300000000000002E-2</v>
          </cell>
        </row>
        <row r="20">
          <cell r="F20">
            <v>-1.3899999999999999E-2</v>
          </cell>
        </row>
        <row r="21">
          <cell r="F21">
            <v>-3.27E-2</v>
          </cell>
        </row>
        <row r="22">
          <cell r="F22">
            <v>-2.4400000000000002E-2</v>
          </cell>
        </row>
        <row r="23">
          <cell r="F23">
            <v>-1.7299999999999999E-2</v>
          </cell>
        </row>
        <row r="24">
          <cell r="F24">
            <v>7.7200000000000005E-2</v>
          </cell>
        </row>
        <row r="25">
          <cell r="F25">
            <v>-1.6E-2</v>
          </cell>
        </row>
        <row r="26">
          <cell r="F26">
            <v>-3.5000000000000001E-3</v>
          </cell>
        </row>
        <row r="27">
          <cell r="F27">
            <v>1.03E-2</v>
          </cell>
        </row>
        <row r="28">
          <cell r="F28">
            <v>5.3600000000000002E-2</v>
          </cell>
        </row>
        <row r="29">
          <cell r="F29">
            <v>-1.5100000000000001E-2</v>
          </cell>
        </row>
        <row r="30">
          <cell r="F30">
            <v>-8.3000000000000001E-3</v>
          </cell>
        </row>
        <row r="31">
          <cell r="F31">
            <v>1.4500000000000001E-2</v>
          </cell>
        </row>
        <row r="32">
          <cell r="F32">
            <v>7.9299999999999995E-2</v>
          </cell>
        </row>
        <row r="33">
          <cell r="F33">
            <v>1.04E-2</v>
          </cell>
        </row>
        <row r="34">
          <cell r="F34">
            <v>2.5399999999999999E-2</v>
          </cell>
        </row>
        <row r="35">
          <cell r="F35">
            <v>-7.6899999999999996E-2</v>
          </cell>
        </row>
        <row r="36">
          <cell r="F36">
            <v>-5.57E-2</v>
          </cell>
        </row>
        <row r="37">
          <cell r="F37">
            <v>-9.7000000000000003E-3</v>
          </cell>
        </row>
        <row r="38">
          <cell r="F38">
            <v>2.3300000000000001E-2</v>
          </cell>
        </row>
        <row r="39">
          <cell r="F39">
            <v>-1.2E-2</v>
          </cell>
        </row>
        <row r="40">
          <cell r="F40">
            <v>2.2100000000000002E-2</v>
          </cell>
        </row>
        <row r="41">
          <cell r="F41">
            <v>2.4400000000000002E-2</v>
          </cell>
        </row>
        <row r="42">
          <cell r="F42">
            <v>-6.9900000000000004E-2</v>
          </cell>
        </row>
        <row r="43">
          <cell r="F43">
            <v>5.7599999999999998E-2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万兴科技300624"/>
    </sheetNames>
    <sheetDataSet>
      <sheetData sheetId="0">
        <row r="1">
          <cell r="F1" t="str">
            <v>涨幅</v>
          </cell>
        </row>
        <row r="2">
          <cell r="F2">
            <v>-1.04E-2</v>
          </cell>
        </row>
        <row r="3">
          <cell r="F3">
            <v>-2.53E-2</v>
          </cell>
        </row>
        <row r="4">
          <cell r="F4">
            <v>-1.21E-2</v>
          </cell>
        </row>
        <row r="5">
          <cell r="F5">
            <v>-3.5700000000000003E-2</v>
          </cell>
        </row>
        <row r="6">
          <cell r="F6">
            <v>1.23E-2</v>
          </cell>
        </row>
        <row r="7">
          <cell r="F7">
            <v>-0.02</v>
          </cell>
        </row>
        <row r="8">
          <cell r="F8">
            <v>0.02</v>
          </cell>
        </row>
        <row r="9">
          <cell r="F9">
            <v>-1.7399999999999999E-2</v>
          </cell>
        </row>
        <row r="10">
          <cell r="F10">
            <v>-3.4000000000000002E-2</v>
          </cell>
        </row>
        <row r="11">
          <cell r="F11">
            <v>-5.7500000000000002E-2</v>
          </cell>
        </row>
        <row r="12">
          <cell r="F12">
            <v>2.5100000000000001E-2</v>
          </cell>
        </row>
        <row r="13">
          <cell r="F13">
            <v>2.1100000000000001E-2</v>
          </cell>
        </row>
        <row r="14">
          <cell r="F14">
            <v>-2.0500000000000001E-2</v>
          </cell>
        </row>
        <row r="15">
          <cell r="F15">
            <v>7.7999999999999996E-3</v>
          </cell>
        </row>
        <row r="16">
          <cell r="F16">
            <v>-4.7999999999999996E-3</v>
          </cell>
        </row>
        <row r="17">
          <cell r="F17">
            <v>-5.5999999999999999E-3</v>
          </cell>
        </row>
        <row r="18">
          <cell r="F18">
            <v>1.66E-2</v>
          </cell>
        </row>
        <row r="19">
          <cell r="F19">
            <v>-3.7600000000000001E-2</v>
          </cell>
        </row>
        <row r="20">
          <cell r="F20">
            <v>-2.1299999999999999E-2</v>
          </cell>
        </row>
        <row r="21">
          <cell r="F21">
            <v>6.1000000000000004E-3</v>
          </cell>
        </row>
        <row r="22">
          <cell r="F22">
            <v>9.8500000000000004E-2</v>
          </cell>
        </row>
        <row r="23">
          <cell r="F23">
            <v>-3.5900000000000001E-2</v>
          </cell>
        </row>
        <row r="24">
          <cell r="F24">
            <v>4.5999999999999999E-3</v>
          </cell>
        </row>
        <row r="25">
          <cell r="F25">
            <v>-2.7000000000000001E-3</v>
          </cell>
        </row>
        <row r="26">
          <cell r="F26">
            <v>2.1600000000000001E-2</v>
          </cell>
        </row>
        <row r="27">
          <cell r="F27">
            <v>-2.35E-2</v>
          </cell>
        </row>
        <row r="28">
          <cell r="F28">
            <v>2.6800000000000001E-2</v>
          </cell>
        </row>
        <row r="29">
          <cell r="F29">
            <v>-4.7999999999999996E-3</v>
          </cell>
        </row>
        <row r="30">
          <cell r="F30">
            <v>2.3599999999999999E-2</v>
          </cell>
        </row>
        <row r="31">
          <cell r="F31">
            <v>-1.5699999999999999E-2</v>
          </cell>
        </row>
        <row r="32">
          <cell r="F32">
            <v>6.0000000000000001E-3</v>
          </cell>
        </row>
        <row r="33">
          <cell r="F33">
            <v>-1.9099999999999999E-2</v>
          </cell>
        </row>
        <row r="34">
          <cell r="F34">
            <v>-6.0000000000000001E-3</v>
          </cell>
        </row>
        <row r="35">
          <cell r="F35">
            <v>-7.0000000000000001E-3</v>
          </cell>
        </row>
        <row r="36">
          <cell r="F36">
            <v>-7.9500000000000001E-2</v>
          </cell>
        </row>
        <row r="37">
          <cell r="F37">
            <v>2.0799999999999999E-2</v>
          </cell>
        </row>
        <row r="38">
          <cell r="F38">
            <v>-2.1600000000000001E-2</v>
          </cell>
        </row>
        <row r="39">
          <cell r="F39">
            <v>5.7599999999999998E-2</v>
          </cell>
        </row>
        <row r="40">
          <cell r="F40">
            <v>5.4600000000000003E-2</v>
          </cell>
        </row>
        <row r="41">
          <cell r="F41">
            <v>-6.0000000000000001E-3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优刻得688158"/>
    </sheetNames>
    <sheetDataSet>
      <sheetData sheetId="0">
        <row r="1">
          <cell r="F1" t="str">
            <v>涨幅</v>
          </cell>
        </row>
        <row r="2">
          <cell r="F2">
            <v>0.1368</v>
          </cell>
        </row>
        <row r="3">
          <cell r="F3">
            <v>-7.6E-3</v>
          </cell>
        </row>
        <row r="4">
          <cell r="F4">
            <v>-5.8400000000000001E-2</v>
          </cell>
        </row>
        <row r="5">
          <cell r="F5">
            <v>-0.1079</v>
          </cell>
        </row>
        <row r="6">
          <cell r="F6">
            <v>-9.1000000000000004E-3</v>
          </cell>
        </row>
        <row r="7">
          <cell r="F7">
            <v>-1.95E-2</v>
          </cell>
        </row>
        <row r="8">
          <cell r="F8">
            <v>0.1321</v>
          </cell>
        </row>
        <row r="9">
          <cell r="F9">
            <v>1.12E-2</v>
          </cell>
        </row>
        <row r="10">
          <cell r="F10">
            <v>-5.9400000000000001E-2</v>
          </cell>
        </row>
        <row r="11">
          <cell r="F11">
            <v>-3.5799999999999998E-2</v>
          </cell>
        </row>
        <row r="12">
          <cell r="F12">
            <v>-1.61E-2</v>
          </cell>
        </row>
        <row r="13">
          <cell r="F13">
            <v>1.55E-2</v>
          </cell>
        </row>
        <row r="14">
          <cell r="F14">
            <v>-4.5400000000000003E-2</v>
          </cell>
        </row>
        <row r="15">
          <cell r="F15">
            <v>-1.4E-3</v>
          </cell>
        </row>
        <row r="16">
          <cell r="F16">
            <v>-2.8999999999999998E-3</v>
          </cell>
        </row>
        <row r="17">
          <cell r="F17">
            <v>-2.4299999999999999E-2</v>
          </cell>
        </row>
        <row r="18">
          <cell r="F18">
            <v>0.1</v>
          </cell>
        </row>
        <row r="19">
          <cell r="F19">
            <v>-8.0100000000000005E-2</v>
          </cell>
        </row>
        <row r="20">
          <cell r="F20">
            <v>2.2599999999999999E-2</v>
          </cell>
        </row>
        <row r="21">
          <cell r="F21">
            <v>-0.03</v>
          </cell>
        </row>
        <row r="22">
          <cell r="F22">
            <v>0.13950000000000001</v>
          </cell>
        </row>
        <row r="23">
          <cell r="F23">
            <v>3.5000000000000001E-3</v>
          </cell>
        </row>
        <row r="24">
          <cell r="F24">
            <v>-3.5099999999999999E-2</v>
          </cell>
        </row>
        <row r="25">
          <cell r="F25">
            <v>1.06E-2</v>
          </cell>
        </row>
        <row r="26">
          <cell r="F26">
            <v>2.87E-2</v>
          </cell>
        </row>
        <row r="27">
          <cell r="F27">
            <v>-1.0800000000000001E-2</v>
          </cell>
        </row>
        <row r="28">
          <cell r="F28">
            <v>3.39E-2</v>
          </cell>
        </row>
        <row r="29">
          <cell r="F29">
            <v>8.8999999999999999E-3</v>
          </cell>
        </row>
        <row r="30">
          <cell r="F30">
            <v>1.4200000000000001E-2</v>
          </cell>
        </row>
        <row r="31">
          <cell r="F31">
            <v>-3.3700000000000001E-2</v>
          </cell>
        </row>
        <row r="32">
          <cell r="F32">
            <v>5.0599999999999999E-2</v>
          </cell>
        </row>
        <row r="33">
          <cell r="F33">
            <v>1.8499999999999999E-2</v>
          </cell>
        </row>
        <row r="34">
          <cell r="F34">
            <v>-1.7600000000000001E-2</v>
          </cell>
        </row>
        <row r="35">
          <cell r="F35">
            <v>-4.3900000000000002E-2</v>
          </cell>
        </row>
        <row r="36">
          <cell r="F36">
            <v>-4.4400000000000002E-2</v>
          </cell>
        </row>
        <row r="37">
          <cell r="F37">
            <v>1.9099999999999999E-2</v>
          </cell>
        </row>
        <row r="38">
          <cell r="F38">
            <v>-1.7000000000000001E-2</v>
          </cell>
        </row>
        <row r="39">
          <cell r="F39">
            <v>0.1164</v>
          </cell>
        </row>
        <row r="40">
          <cell r="F40">
            <v>4.9500000000000002E-2</v>
          </cell>
        </row>
        <row r="41">
          <cell r="F41">
            <v>-2.9600000000000001E-2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顺网科技300113"/>
    </sheetNames>
    <sheetDataSet>
      <sheetData sheetId="0">
        <row r="1">
          <cell r="F1" t="str">
            <v>涨幅</v>
          </cell>
        </row>
        <row r="2">
          <cell r="F2">
            <v>2.3800000000000002E-2</v>
          </cell>
        </row>
        <row r="3">
          <cell r="F3">
            <v>-2.9600000000000001E-2</v>
          </cell>
        </row>
        <row r="4">
          <cell r="F4">
            <v>1.78E-2</v>
          </cell>
        </row>
        <row r="5">
          <cell r="F5">
            <v>-9.3299999999999994E-2</v>
          </cell>
        </row>
        <row r="6">
          <cell r="F6">
            <v>3.0000000000000001E-3</v>
          </cell>
        </row>
        <row r="7">
          <cell r="F7">
            <v>-3.8899999999999997E-2</v>
          </cell>
        </row>
        <row r="8">
          <cell r="F8">
            <v>0.1191</v>
          </cell>
        </row>
        <row r="9">
          <cell r="F9">
            <v>1.6999999999999999E-3</v>
          </cell>
        </row>
        <row r="10">
          <cell r="F10">
            <v>-5.0900000000000001E-2</v>
          </cell>
        </row>
        <row r="11">
          <cell r="F11">
            <v>2.06E-2</v>
          </cell>
        </row>
        <row r="12">
          <cell r="F12">
            <v>3.5799999999999998E-2</v>
          </cell>
        </row>
        <row r="13">
          <cell r="F13">
            <v>6.8999999999999999E-3</v>
          </cell>
        </row>
        <row r="14">
          <cell r="F14">
            <v>-3.3000000000000002E-2</v>
          </cell>
        </row>
        <row r="15">
          <cell r="F15">
            <v>-2.0400000000000001E-2</v>
          </cell>
        </row>
        <row r="16">
          <cell r="F16">
            <v>-4.7000000000000002E-3</v>
          </cell>
        </row>
        <row r="17">
          <cell r="F17">
            <v>-4.6199999999999998E-2</v>
          </cell>
        </row>
        <row r="18">
          <cell r="F18">
            <v>8.0199999999999994E-2</v>
          </cell>
        </row>
        <row r="19">
          <cell r="F19">
            <v>-6.7599999999999993E-2</v>
          </cell>
        </row>
        <row r="20">
          <cell r="F20">
            <v>1.5E-3</v>
          </cell>
        </row>
        <row r="21">
          <cell r="F21">
            <v>-5.2900000000000003E-2</v>
          </cell>
        </row>
        <row r="22">
          <cell r="F22">
            <v>0.1323</v>
          </cell>
        </row>
        <row r="23">
          <cell r="F23">
            <v>-2.4500000000000001E-2</v>
          </cell>
        </row>
        <row r="24">
          <cell r="F24">
            <v>1.7899999999999999E-2</v>
          </cell>
        </row>
        <row r="25">
          <cell r="F25">
            <v>7.7000000000000002E-3</v>
          </cell>
        </row>
        <row r="26">
          <cell r="F26">
            <v>1.3599999999999999E-2</v>
          </cell>
        </row>
        <row r="27">
          <cell r="F27">
            <v>6.1999999999999998E-3</v>
          </cell>
        </row>
        <row r="28">
          <cell r="F28">
            <v>3.1199999999999999E-2</v>
          </cell>
        </row>
        <row r="29">
          <cell r="F29">
            <v>-2.3900000000000001E-2</v>
          </cell>
        </row>
        <row r="30">
          <cell r="F30">
            <v>-1.3599999999999999E-2</v>
          </cell>
        </row>
        <row r="31">
          <cell r="F31">
            <v>-2.0400000000000001E-2</v>
          </cell>
        </row>
        <row r="32">
          <cell r="F32">
            <v>4.58E-2</v>
          </cell>
        </row>
        <row r="33">
          <cell r="F33">
            <v>-2.93E-2</v>
          </cell>
        </row>
        <row r="34">
          <cell r="F34">
            <v>-4.7199999999999999E-2</v>
          </cell>
        </row>
        <row r="35">
          <cell r="F35">
            <v>-3.8300000000000001E-2</v>
          </cell>
        </row>
        <row r="36">
          <cell r="F36">
            <v>-3.5200000000000002E-2</v>
          </cell>
        </row>
        <row r="37">
          <cell r="F37">
            <v>1.7299999999999999E-2</v>
          </cell>
        </row>
        <row r="38">
          <cell r="F38">
            <v>-2.5100000000000001E-2</v>
          </cell>
        </row>
        <row r="39">
          <cell r="F39">
            <v>8.43E-2</v>
          </cell>
        </row>
        <row r="40">
          <cell r="F40">
            <v>5.5899999999999998E-2</v>
          </cell>
        </row>
        <row r="41">
          <cell r="F41">
            <v>-2.1399999999999999E-2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中科创达300496"/>
    </sheetNames>
    <sheetDataSet>
      <sheetData sheetId="0">
        <row r="1">
          <cell r="F1" t="str">
            <v>涨幅</v>
          </cell>
        </row>
        <row r="2">
          <cell r="F2">
            <v>2E-3</v>
          </cell>
        </row>
        <row r="3">
          <cell r="F3">
            <v>-1.9400000000000001E-2</v>
          </cell>
        </row>
        <row r="4">
          <cell r="F4">
            <v>2.9999999999999997E-4</v>
          </cell>
        </row>
        <row r="5">
          <cell r="F5">
            <v>-3.4700000000000002E-2</v>
          </cell>
        </row>
        <row r="6">
          <cell r="F6">
            <v>1.8E-3</v>
          </cell>
        </row>
        <row r="7">
          <cell r="F7">
            <v>-2.4400000000000002E-2</v>
          </cell>
        </row>
        <row r="8">
          <cell r="F8">
            <v>1.7299999999999999E-2</v>
          </cell>
        </row>
        <row r="9">
          <cell r="F9">
            <v>-2.01E-2</v>
          </cell>
        </row>
        <row r="10">
          <cell r="F10">
            <v>-3.9699999999999999E-2</v>
          </cell>
        </row>
        <row r="11">
          <cell r="F11">
            <v>-3.6200000000000003E-2</v>
          </cell>
        </row>
        <row r="12">
          <cell r="F12">
            <v>4.5999999999999999E-3</v>
          </cell>
        </row>
        <row r="13">
          <cell r="F13">
            <v>8.2000000000000007E-3</v>
          </cell>
        </row>
        <row r="14">
          <cell r="F14">
            <v>-3.4200000000000001E-2</v>
          </cell>
        </row>
        <row r="15">
          <cell r="F15">
            <v>4.7000000000000002E-3</v>
          </cell>
        </row>
        <row r="16">
          <cell r="F16">
            <v>-8.8000000000000005E-3</v>
          </cell>
        </row>
        <row r="17">
          <cell r="F17">
            <v>-7.3000000000000001E-3</v>
          </cell>
        </row>
        <row r="18">
          <cell r="F18">
            <v>1.7299999999999999E-2</v>
          </cell>
        </row>
        <row r="19">
          <cell r="F19">
            <v>-3.1E-2</v>
          </cell>
        </row>
        <row r="20">
          <cell r="F20">
            <v>-1.23E-2</v>
          </cell>
        </row>
        <row r="21">
          <cell r="F21">
            <v>-2.5999999999999999E-3</v>
          </cell>
        </row>
        <row r="22">
          <cell r="F22">
            <v>8.0399999999999999E-2</v>
          </cell>
        </row>
        <row r="23">
          <cell r="F23">
            <v>-2.63E-2</v>
          </cell>
        </row>
        <row r="24">
          <cell r="F24">
            <v>1.1900000000000001E-2</v>
          </cell>
        </row>
        <row r="25">
          <cell r="F25">
            <v>5.0000000000000001E-4</v>
          </cell>
        </row>
        <row r="26">
          <cell r="F26">
            <v>1.84E-2</v>
          </cell>
        </row>
        <row r="27">
          <cell r="F27">
            <v>-1.6400000000000001E-2</v>
          </cell>
        </row>
        <row r="28">
          <cell r="F28">
            <v>1.6899999999999998E-2</v>
          </cell>
        </row>
        <row r="29">
          <cell r="F29">
            <v>-3.2000000000000002E-3</v>
          </cell>
        </row>
        <row r="30">
          <cell r="F30">
            <v>1.35E-2</v>
          </cell>
        </row>
        <row r="31">
          <cell r="F31">
            <v>-1.77E-2</v>
          </cell>
        </row>
        <row r="32">
          <cell r="F32">
            <v>5.62E-2</v>
          </cell>
        </row>
        <row r="33">
          <cell r="F33">
            <v>8.9999999999999993E-3</v>
          </cell>
        </row>
        <row r="34">
          <cell r="F34">
            <v>-1.55E-2</v>
          </cell>
        </row>
        <row r="35">
          <cell r="F35">
            <v>1.72E-2</v>
          </cell>
        </row>
        <row r="36">
          <cell r="F36">
            <v>-2.53E-2</v>
          </cell>
        </row>
        <row r="37">
          <cell r="F37">
            <v>6.4999999999999997E-3</v>
          </cell>
        </row>
        <row r="38">
          <cell r="F38">
            <v>-2.9999999999999997E-4</v>
          </cell>
        </row>
        <row r="39">
          <cell r="F39">
            <v>2.0799999999999999E-2</v>
          </cell>
        </row>
        <row r="40">
          <cell r="F40">
            <v>1.35E-2</v>
          </cell>
        </row>
        <row r="41">
          <cell r="F41">
            <v>8.8000000000000005E-3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拓维信息002261"/>
    </sheetNames>
    <sheetDataSet>
      <sheetData sheetId="0">
        <row r="1">
          <cell r="F1" t="str">
            <v>涨幅</v>
          </cell>
        </row>
        <row r="2">
          <cell r="F2">
            <v>-2.7900000000000001E-2</v>
          </cell>
        </row>
        <row r="3">
          <cell r="F3">
            <v>-1.6299999999999999E-2</v>
          </cell>
        </row>
        <row r="4">
          <cell r="F4">
            <v>-3.3099999999999997E-2</v>
          </cell>
        </row>
        <row r="5">
          <cell r="F5">
            <v>-7.0999999999999994E-2</v>
          </cell>
        </row>
        <row r="6">
          <cell r="F6">
            <v>1.14E-2</v>
          </cell>
        </row>
        <row r="7">
          <cell r="F7">
            <v>-4.0000000000000001E-3</v>
          </cell>
        </row>
        <row r="8">
          <cell r="F8">
            <v>4.7100000000000003E-2</v>
          </cell>
        </row>
        <row r="9">
          <cell r="F9">
            <v>-2.0299999999999999E-2</v>
          </cell>
        </row>
        <row r="10">
          <cell r="F10">
            <v>-6.7100000000000007E-2</v>
          </cell>
        </row>
        <row r="11">
          <cell r="F11">
            <v>-3.6299999999999999E-2</v>
          </cell>
        </row>
        <row r="12">
          <cell r="F12">
            <v>2.01E-2</v>
          </cell>
        </row>
        <row r="13">
          <cell r="F13">
            <v>2.1399999999999999E-2</v>
          </cell>
        </row>
        <row r="14">
          <cell r="F14">
            <v>-5.8000000000000003E-2</v>
          </cell>
        </row>
        <row r="15">
          <cell r="F15">
            <v>3.2099999999999997E-2</v>
          </cell>
        </row>
        <row r="16">
          <cell r="F16">
            <v>8.6E-3</v>
          </cell>
        </row>
        <row r="17">
          <cell r="F17">
            <v>-2.4299999999999999E-2</v>
          </cell>
        </row>
        <row r="18">
          <cell r="F18">
            <v>3.0700000000000002E-2</v>
          </cell>
        </row>
        <row r="19">
          <cell r="F19">
            <v>-5.0799999999999998E-2</v>
          </cell>
        </row>
        <row r="20">
          <cell r="F20">
            <v>3.8999999999999998E-3</v>
          </cell>
        </row>
        <row r="21">
          <cell r="F21">
            <v>7.1000000000000004E-3</v>
          </cell>
        </row>
        <row r="22">
          <cell r="F22">
            <v>7.0699999999999999E-2</v>
          </cell>
        </row>
        <row r="23">
          <cell r="F23">
            <v>-8.8000000000000005E-3</v>
          </cell>
        </row>
        <row r="24">
          <cell r="F24">
            <v>-2.5000000000000001E-3</v>
          </cell>
        </row>
        <row r="25">
          <cell r="F25">
            <v>5.5999999999999999E-3</v>
          </cell>
        </row>
        <row r="26">
          <cell r="F26">
            <v>1.3899999999999999E-2</v>
          </cell>
        </row>
        <row r="27">
          <cell r="F27">
            <v>-2.5000000000000001E-3</v>
          </cell>
        </row>
        <row r="28">
          <cell r="F28">
            <v>1.9800000000000002E-2</v>
          </cell>
        </row>
        <row r="29">
          <cell r="F29">
            <v>1.4500000000000001E-2</v>
          </cell>
        </row>
        <row r="30">
          <cell r="F30">
            <v>2.9999999999999997E-4</v>
          </cell>
        </row>
        <row r="31">
          <cell r="F31">
            <v>-4.0399999999999998E-2</v>
          </cell>
        </row>
        <row r="32">
          <cell r="F32">
            <v>6.3100000000000003E-2</v>
          </cell>
        </row>
        <row r="33">
          <cell r="F33">
            <v>-5.4999999999999997E-3</v>
          </cell>
        </row>
        <row r="34">
          <cell r="F34">
            <v>3.3000000000000002E-2</v>
          </cell>
        </row>
        <row r="35">
          <cell r="F35">
            <v>-2.9899999999999999E-2</v>
          </cell>
        </row>
        <row r="36">
          <cell r="F36">
            <v>-8.5400000000000004E-2</v>
          </cell>
        </row>
        <row r="37">
          <cell r="F37">
            <v>-3.3999999999999998E-3</v>
          </cell>
        </row>
        <row r="38">
          <cell r="F38">
            <v>1.52E-2</v>
          </cell>
        </row>
        <row r="39">
          <cell r="F39">
            <v>6.0900000000000003E-2</v>
          </cell>
        </row>
        <row r="40">
          <cell r="F40">
            <v>4.0000000000000001E-3</v>
          </cell>
        </row>
        <row r="41">
          <cell r="F41">
            <v>-4.9000000000000002E-2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瑞芯微603893"/>
    </sheetNames>
    <sheetDataSet>
      <sheetData sheetId="0">
        <row r="1">
          <cell r="F1" t="str">
            <v>涨幅</v>
          </cell>
        </row>
        <row r="2">
          <cell r="F2">
            <v>1.6000000000000001E-3</v>
          </cell>
        </row>
        <row r="3">
          <cell r="F3">
            <v>-1.24E-2</v>
          </cell>
        </row>
        <row r="4">
          <cell r="F4">
            <v>-2.1100000000000001E-2</v>
          </cell>
        </row>
        <row r="5">
          <cell r="F5">
            <v>-1.4800000000000001E-2</v>
          </cell>
        </row>
        <row r="6">
          <cell r="F6">
            <v>1.0699999999999999E-2</v>
          </cell>
        </row>
        <row r="7">
          <cell r="F7">
            <v>-2.0899999999999998E-2</v>
          </cell>
        </row>
        <row r="8">
          <cell r="F8">
            <v>7.7999999999999996E-3</v>
          </cell>
        </row>
        <row r="9">
          <cell r="F9">
            <v>-3.5099999999999999E-2</v>
          </cell>
        </row>
        <row r="10">
          <cell r="F10">
            <v>-0.03</v>
          </cell>
        </row>
        <row r="11">
          <cell r="F11">
            <v>-6.5100000000000005E-2</v>
          </cell>
        </row>
        <row r="12">
          <cell r="F12">
            <v>2.7900000000000001E-2</v>
          </cell>
        </row>
        <row r="13">
          <cell r="F13">
            <v>2.5999999999999999E-2</v>
          </cell>
        </row>
        <row r="14">
          <cell r="F14">
            <v>-2.76E-2</v>
          </cell>
        </row>
        <row r="15">
          <cell r="F15">
            <v>1.46E-2</v>
          </cell>
        </row>
        <row r="16">
          <cell r="F16">
            <v>-1.5699999999999999E-2</v>
          </cell>
        </row>
        <row r="17">
          <cell r="F17">
            <v>1.8599999999999998E-2</v>
          </cell>
        </row>
        <row r="18">
          <cell r="F18">
            <v>5.1000000000000004E-3</v>
          </cell>
        </row>
        <row r="19">
          <cell r="F19">
            <v>-2.41E-2</v>
          </cell>
        </row>
        <row r="20">
          <cell r="F20">
            <v>-1.1000000000000001E-3</v>
          </cell>
        </row>
        <row r="21">
          <cell r="F21">
            <v>-8.0000000000000002E-3</v>
          </cell>
        </row>
        <row r="22">
          <cell r="F22">
            <v>8.0299999999999996E-2</v>
          </cell>
        </row>
        <row r="23">
          <cell r="F23">
            <v>3.3999999999999998E-3</v>
          </cell>
        </row>
        <row r="24">
          <cell r="F24">
            <v>6.0199999999999997E-2</v>
          </cell>
        </row>
        <row r="25">
          <cell r="F25">
            <v>-7.0000000000000001E-3</v>
          </cell>
        </row>
        <row r="26">
          <cell r="F26">
            <v>5.5999999999999999E-3</v>
          </cell>
        </row>
        <row r="27">
          <cell r="F27">
            <v>4.1999999999999997E-3</v>
          </cell>
        </row>
        <row r="28">
          <cell r="F28">
            <v>2.8999999999999998E-3</v>
          </cell>
        </row>
        <row r="29">
          <cell r="F29">
            <v>-2.9999999999999997E-4</v>
          </cell>
        </row>
        <row r="30">
          <cell r="F30">
            <v>3.7699999999999997E-2</v>
          </cell>
        </row>
        <row r="31">
          <cell r="F31">
            <v>-1.7100000000000001E-2</v>
          </cell>
        </row>
        <row r="32">
          <cell r="F32">
            <v>2.29E-2</v>
          </cell>
        </row>
        <row r="33">
          <cell r="F33">
            <v>-8.6E-3</v>
          </cell>
        </row>
        <row r="34">
          <cell r="F34">
            <v>1.06E-2</v>
          </cell>
        </row>
        <row r="35">
          <cell r="F35">
            <v>3.8300000000000001E-2</v>
          </cell>
        </row>
        <row r="36">
          <cell r="F36">
            <v>-1.83E-2</v>
          </cell>
        </row>
        <row r="37">
          <cell r="F37">
            <v>1.5E-3</v>
          </cell>
        </row>
        <row r="38">
          <cell r="F38">
            <v>2.8999999999999998E-3</v>
          </cell>
        </row>
        <row r="39">
          <cell r="F39">
            <v>-7.9000000000000008E-3</v>
          </cell>
        </row>
        <row r="40">
          <cell r="F40">
            <v>-2.0999999999999999E-3</v>
          </cell>
        </row>
        <row r="41">
          <cell r="F41">
            <v>-1.49E-2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北信源300352"/>
    </sheetNames>
    <sheetDataSet>
      <sheetData sheetId="0">
        <row r="1">
          <cell r="F1" t="str">
            <v>涨幅</v>
          </cell>
        </row>
        <row r="2">
          <cell r="F2">
            <v>1.9800000000000002E-2</v>
          </cell>
        </row>
        <row r="3">
          <cell r="F3">
            <v>1.55E-2</v>
          </cell>
        </row>
        <row r="4">
          <cell r="F4">
            <v>-2.1700000000000001E-2</v>
          </cell>
        </row>
        <row r="5">
          <cell r="F5">
            <v>-7.5499999999999998E-2</v>
          </cell>
        </row>
        <row r="6">
          <cell r="F6">
            <v>1.41E-2</v>
          </cell>
        </row>
        <row r="7">
          <cell r="F7">
            <v>-5.5599999999999997E-2</v>
          </cell>
        </row>
        <row r="8">
          <cell r="F8">
            <v>4.1200000000000001E-2</v>
          </cell>
        </row>
        <row r="9">
          <cell r="F9">
            <v>-3.1099999999999999E-2</v>
          </cell>
        </row>
        <row r="10">
          <cell r="F10">
            <v>-4.9599999999999998E-2</v>
          </cell>
        </row>
        <row r="11">
          <cell r="F11">
            <v>-5.67E-2</v>
          </cell>
        </row>
        <row r="12">
          <cell r="F12">
            <v>2.2800000000000001E-2</v>
          </cell>
        </row>
        <row r="13">
          <cell r="F13">
            <v>6.4000000000000003E-3</v>
          </cell>
        </row>
        <row r="14">
          <cell r="F14">
            <v>-4.58E-2</v>
          </cell>
        </row>
        <row r="15">
          <cell r="F15">
            <v>4.8000000000000001E-2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2.53E-2</v>
          </cell>
        </row>
        <row r="19">
          <cell r="F19">
            <v>0.02</v>
          </cell>
        </row>
        <row r="20">
          <cell r="F20">
            <v>-3.32E-2</v>
          </cell>
        </row>
        <row r="21">
          <cell r="F21">
            <v>1.6000000000000001E-3</v>
          </cell>
        </row>
        <row r="22">
          <cell r="F22">
            <v>7.3300000000000004E-2</v>
          </cell>
        </row>
        <row r="23">
          <cell r="F23">
            <v>7.3000000000000001E-3</v>
          </cell>
        </row>
        <row r="24">
          <cell r="F24">
            <v>2.7400000000000001E-2</v>
          </cell>
        </row>
        <row r="25">
          <cell r="F25">
            <v>-1.26E-2</v>
          </cell>
        </row>
        <row r="26">
          <cell r="F26">
            <v>2.2800000000000001E-2</v>
          </cell>
        </row>
        <row r="27">
          <cell r="F27">
            <v>-2.5000000000000001E-2</v>
          </cell>
        </row>
        <row r="28">
          <cell r="F28">
            <v>0.11409999999999999</v>
          </cell>
        </row>
        <row r="29">
          <cell r="F29">
            <v>8.9999999999999993E-3</v>
          </cell>
        </row>
        <row r="30">
          <cell r="F30">
            <v>-3.1699999999999999E-2</v>
          </cell>
        </row>
        <row r="31">
          <cell r="F31">
            <v>-2.3599999999999999E-2</v>
          </cell>
        </row>
        <row r="32">
          <cell r="F32">
            <v>-5.4000000000000003E-3</v>
          </cell>
        </row>
        <row r="33">
          <cell r="F33">
            <v>-2.0199999999999999E-2</v>
          </cell>
        </row>
        <row r="34">
          <cell r="F34">
            <v>2.8E-3</v>
          </cell>
        </row>
        <row r="35">
          <cell r="F35">
            <v>-2.6100000000000002E-2</v>
          </cell>
        </row>
        <row r="36">
          <cell r="F36">
            <v>-1.83E-2</v>
          </cell>
        </row>
        <row r="37">
          <cell r="F37">
            <v>3.3000000000000002E-2</v>
          </cell>
        </row>
        <row r="38">
          <cell r="F38">
            <v>-0.20030000000000001</v>
          </cell>
        </row>
        <row r="39">
          <cell r="F39">
            <v>-0.2</v>
          </cell>
        </row>
        <row r="40">
          <cell r="F40">
            <v>-0.1696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金杯电工002533"/>
    </sheetNames>
    <sheetDataSet>
      <sheetData sheetId="0">
        <row r="1">
          <cell r="F1" t="str">
            <v>涨幅</v>
          </cell>
        </row>
        <row r="2">
          <cell r="F2">
            <v>-1.4500000000000001E-2</v>
          </cell>
        </row>
        <row r="3">
          <cell r="F3">
            <v>-2.1100000000000001E-2</v>
          </cell>
        </row>
        <row r="4">
          <cell r="F4">
            <v>-2.2200000000000001E-2</v>
          </cell>
        </row>
        <row r="5">
          <cell r="F5">
            <v>-3.5299999999999998E-2</v>
          </cell>
        </row>
        <row r="6">
          <cell r="F6">
            <v>2.07E-2</v>
          </cell>
        </row>
        <row r="7">
          <cell r="F7">
            <v>-4.4699999999999997E-2</v>
          </cell>
        </row>
        <row r="8">
          <cell r="F8">
            <v>-2.2700000000000001E-2</v>
          </cell>
        </row>
        <row r="9">
          <cell r="F9">
            <v>-2.6800000000000001E-2</v>
          </cell>
        </row>
        <row r="10">
          <cell r="F10">
            <v>2.24E-2</v>
          </cell>
        </row>
        <row r="11">
          <cell r="F11">
            <v>5.0299999999999997E-2</v>
          </cell>
        </row>
        <row r="12">
          <cell r="F12">
            <v>-2.4299999999999999E-2</v>
          </cell>
        </row>
        <row r="13">
          <cell r="F13">
            <v>6.4000000000000003E-3</v>
          </cell>
        </row>
        <row r="14">
          <cell r="F14">
            <v>-1.2699999999999999E-2</v>
          </cell>
        </row>
        <row r="15">
          <cell r="F15">
            <v>-5.4399999999999997E-2</v>
          </cell>
        </row>
        <row r="16">
          <cell r="F16">
            <v>2.8000000000000001E-2</v>
          </cell>
        </row>
        <row r="17">
          <cell r="F17">
            <v>-1.6899999999999998E-2</v>
          </cell>
        </row>
        <row r="18">
          <cell r="F18">
            <v>-2.7699999999999999E-2</v>
          </cell>
        </row>
        <row r="19">
          <cell r="F19">
            <v>-2.0799999999999999E-2</v>
          </cell>
        </row>
        <row r="20">
          <cell r="F20">
            <v>4.5600000000000002E-2</v>
          </cell>
        </row>
        <row r="21">
          <cell r="F21">
            <v>-1.43E-2</v>
          </cell>
        </row>
        <row r="22">
          <cell r="F22">
            <v>1.2999999999999999E-2</v>
          </cell>
        </row>
        <row r="23">
          <cell r="F23">
            <v>-1.8800000000000001E-2</v>
          </cell>
        </row>
        <row r="24">
          <cell r="F24">
            <v>1.84E-2</v>
          </cell>
        </row>
        <row r="25">
          <cell r="F25">
            <v>3.0200000000000001E-2</v>
          </cell>
        </row>
        <row r="26">
          <cell r="F26">
            <v>9.4999999999999998E-3</v>
          </cell>
        </row>
        <row r="27">
          <cell r="F27">
            <v>-9.4000000000000004E-3</v>
          </cell>
        </row>
        <row r="28">
          <cell r="F28">
            <v>1.7600000000000001E-2</v>
          </cell>
        </row>
        <row r="29">
          <cell r="F29">
            <v>2.3699999999999999E-2</v>
          </cell>
        </row>
        <row r="30">
          <cell r="F30">
            <v>2.0999999999999999E-3</v>
          </cell>
        </row>
        <row r="31">
          <cell r="F31">
            <v>-2.4500000000000001E-2</v>
          </cell>
        </row>
        <row r="32">
          <cell r="F32">
            <v>-9.2999999999999992E-3</v>
          </cell>
        </row>
        <row r="33">
          <cell r="F33">
            <v>-1.9599999999999999E-2</v>
          </cell>
        </row>
        <row r="34">
          <cell r="F34">
            <v>-2.2200000000000001E-2</v>
          </cell>
        </row>
        <row r="35">
          <cell r="F35">
            <v>1.9699999999999999E-2</v>
          </cell>
        </row>
        <row r="36">
          <cell r="F36">
            <v>-1.26E-2</v>
          </cell>
        </row>
        <row r="37">
          <cell r="F37">
            <v>1.7299999999999999E-2</v>
          </cell>
        </row>
        <row r="38">
          <cell r="F38">
            <v>3.1800000000000002E-2</v>
          </cell>
        </row>
        <row r="39">
          <cell r="F39">
            <v>-0.01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法拉电子600563"/>
    </sheetNames>
    <sheetDataSet>
      <sheetData sheetId="0">
        <row r="1">
          <cell r="F1" t="str">
            <v>涨幅</v>
          </cell>
        </row>
        <row r="2">
          <cell r="F2">
            <v>1.7999999999999999E-2</v>
          </cell>
        </row>
        <row r="3">
          <cell r="F3">
            <v>-2.64E-2</v>
          </cell>
        </row>
        <row r="4">
          <cell r="F4">
            <v>4.7999999999999996E-3</v>
          </cell>
        </row>
        <row r="5">
          <cell r="F5">
            <v>-2.8799999999999999E-2</v>
          </cell>
        </row>
        <row r="6">
          <cell r="F6">
            <v>8.2299999999999998E-2</v>
          </cell>
        </row>
        <row r="7">
          <cell r="F7">
            <v>-1.21E-2</v>
          </cell>
        </row>
        <row r="8">
          <cell r="F8">
            <v>1.3299999999999999E-2</v>
          </cell>
        </row>
        <row r="9">
          <cell r="F9">
            <v>-3.6700000000000003E-2</v>
          </cell>
        </row>
        <row r="10">
          <cell r="F10">
            <v>5.96E-2</v>
          </cell>
        </row>
        <row r="11">
          <cell r="F11">
            <v>7.5399999999999995E-2</v>
          </cell>
        </row>
        <row r="12">
          <cell r="F12">
            <v>-1.38E-2</v>
          </cell>
        </row>
        <row r="13">
          <cell r="F13">
            <v>5.7799999999999997E-2</v>
          </cell>
        </row>
        <row r="14">
          <cell r="F14">
            <v>-7.1300000000000002E-2</v>
          </cell>
        </row>
        <row r="15">
          <cell r="F15">
            <v>-5.7299999999999997E-2</v>
          </cell>
        </row>
        <row r="16">
          <cell r="F16">
            <v>3.7100000000000001E-2</v>
          </cell>
        </row>
        <row r="17">
          <cell r="F17">
            <v>-4.5499999999999999E-2</v>
          </cell>
        </row>
        <row r="18">
          <cell r="F18">
            <v>-3.6200000000000003E-2</v>
          </cell>
        </row>
        <row r="19">
          <cell r="F19">
            <v>-2.12E-2</v>
          </cell>
        </row>
        <row r="20">
          <cell r="F20">
            <v>3.7999999999999999E-2</v>
          </cell>
        </row>
        <row r="21">
          <cell r="F21">
            <v>-6.7999999999999996E-3</v>
          </cell>
        </row>
        <row r="22">
          <cell r="F22">
            <v>-2.2000000000000001E-3</v>
          </cell>
        </row>
        <row r="23">
          <cell r="F23">
            <v>-5.1000000000000004E-3</v>
          </cell>
        </row>
        <row r="24">
          <cell r="F24">
            <v>5.7599999999999998E-2</v>
          </cell>
        </row>
        <row r="25">
          <cell r="F25">
            <v>-2.4199999999999999E-2</v>
          </cell>
        </row>
        <row r="26">
          <cell r="F26">
            <v>3.8999999999999998E-3</v>
          </cell>
        </row>
        <row r="27">
          <cell r="F27">
            <v>2.9399999999999999E-2</v>
          </cell>
        </row>
        <row r="28">
          <cell r="F28">
            <v>-1.0500000000000001E-2</v>
          </cell>
        </row>
        <row r="29">
          <cell r="F29">
            <v>-2.0500000000000001E-2</v>
          </cell>
        </row>
        <row r="30">
          <cell r="F30">
            <v>8.8000000000000005E-3</v>
          </cell>
        </row>
        <row r="31">
          <cell r="F31">
            <v>-4.2900000000000001E-2</v>
          </cell>
        </row>
        <row r="32">
          <cell r="F32">
            <v>5.7000000000000002E-3</v>
          </cell>
        </row>
        <row r="33">
          <cell r="F33">
            <v>-1.2E-2</v>
          </cell>
        </row>
        <row r="34">
          <cell r="F34">
            <v>-3.3000000000000002E-2</v>
          </cell>
        </row>
        <row r="35">
          <cell r="F35">
            <v>6.1999999999999998E-3</v>
          </cell>
        </row>
        <row r="36">
          <cell r="F36">
            <v>2.4500000000000001E-2</v>
          </cell>
        </row>
        <row r="37">
          <cell r="F37">
            <v>3.9199999999999999E-2</v>
          </cell>
        </row>
        <row r="38">
          <cell r="F38">
            <v>1.21E-2</v>
          </cell>
        </row>
        <row r="39">
          <cell r="F39">
            <v>-7.1999999999999998E-3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永福股份300712"/>
    </sheetNames>
    <sheetDataSet>
      <sheetData sheetId="0">
        <row r="1">
          <cell r="F1" t="str">
            <v>涨幅</v>
          </cell>
        </row>
        <row r="2">
          <cell r="F2">
            <v>-1.84E-2</v>
          </cell>
        </row>
        <row r="3">
          <cell r="F3">
            <v>-2.7400000000000001E-2</v>
          </cell>
        </row>
        <row r="4">
          <cell r="F4">
            <v>-1.12E-2</v>
          </cell>
        </row>
        <row r="5">
          <cell r="F5">
            <v>-3.5999999999999997E-2</v>
          </cell>
        </row>
        <row r="6">
          <cell r="F6">
            <v>2.0500000000000001E-2</v>
          </cell>
        </row>
        <row r="7">
          <cell r="F7">
            <v>-1.1900000000000001E-2</v>
          </cell>
        </row>
        <row r="8">
          <cell r="F8">
            <v>8.6999999999999994E-3</v>
          </cell>
        </row>
        <row r="9">
          <cell r="F9">
            <v>-3.9699999999999999E-2</v>
          </cell>
        </row>
        <row r="10">
          <cell r="F10">
            <v>5.3400000000000003E-2</v>
          </cell>
        </row>
        <row r="11">
          <cell r="F11">
            <v>2.6100000000000002E-2</v>
          </cell>
        </row>
        <row r="12">
          <cell r="F12">
            <v>-2.2599999999999999E-2</v>
          </cell>
        </row>
        <row r="13">
          <cell r="F13">
            <v>-1.6000000000000001E-3</v>
          </cell>
        </row>
        <row r="14">
          <cell r="F14">
            <v>7.4999999999999997E-3</v>
          </cell>
        </row>
        <row r="15">
          <cell r="F15">
            <v>-4.7E-2</v>
          </cell>
        </row>
        <row r="16">
          <cell r="F16">
            <v>2.9999999999999997E-4</v>
          </cell>
        </row>
        <row r="17">
          <cell r="F17">
            <v>-3.1600000000000003E-2</v>
          </cell>
        </row>
        <row r="18">
          <cell r="F18">
            <v>-4.5999999999999999E-2</v>
          </cell>
        </row>
        <row r="19">
          <cell r="F19">
            <v>7.0000000000000001E-3</v>
          </cell>
        </row>
        <row r="20">
          <cell r="F20">
            <v>4.4200000000000003E-2</v>
          </cell>
        </row>
        <row r="21">
          <cell r="F21">
            <v>-1.8499999999999999E-2</v>
          </cell>
        </row>
        <row r="22">
          <cell r="F22">
            <v>-2.0999999999999999E-3</v>
          </cell>
        </row>
        <row r="23">
          <cell r="F23">
            <v>8.6E-3</v>
          </cell>
        </row>
        <row r="24">
          <cell r="F24">
            <v>1.1000000000000001E-3</v>
          </cell>
        </row>
        <row r="25">
          <cell r="F25">
            <v>3.2000000000000002E-3</v>
          </cell>
        </row>
        <row r="26">
          <cell r="F26">
            <v>6.0000000000000001E-3</v>
          </cell>
        </row>
        <row r="27">
          <cell r="F27">
            <v>-1.9300000000000001E-2</v>
          </cell>
        </row>
        <row r="28">
          <cell r="F28">
            <v>2.29E-2</v>
          </cell>
        </row>
        <row r="29">
          <cell r="F29">
            <v>1.6400000000000001E-2</v>
          </cell>
        </row>
        <row r="30">
          <cell r="F30">
            <v>-1.0999999999999999E-2</v>
          </cell>
        </row>
        <row r="31">
          <cell r="F31">
            <v>2.0999999999999999E-3</v>
          </cell>
        </row>
        <row r="32">
          <cell r="F32">
            <v>-1.84E-2</v>
          </cell>
        </row>
        <row r="33">
          <cell r="F33">
            <v>7.1000000000000004E-3</v>
          </cell>
        </row>
        <row r="34">
          <cell r="F34">
            <v>-4.9099999999999998E-2</v>
          </cell>
        </row>
        <row r="35">
          <cell r="F35">
            <v>-5.8999999999999999E-3</v>
          </cell>
        </row>
        <row r="36">
          <cell r="F36">
            <v>-1.11E-2</v>
          </cell>
        </row>
        <row r="37">
          <cell r="F37">
            <v>5.5999999999999999E-3</v>
          </cell>
        </row>
        <row r="38">
          <cell r="F38">
            <v>1.61E-2</v>
          </cell>
        </row>
        <row r="39">
          <cell r="F39">
            <v>-1.21E-2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永太科技002326"/>
    </sheetNames>
    <sheetDataSet>
      <sheetData sheetId="0">
        <row r="1">
          <cell r="F1" t="str">
            <v>涨幅</v>
          </cell>
        </row>
        <row r="2">
          <cell r="F2">
            <v>1.72E-2</v>
          </cell>
        </row>
        <row r="3">
          <cell r="F3">
            <v>-3.4299999999999997E-2</v>
          </cell>
        </row>
        <row r="4">
          <cell r="F4">
            <v>1.9699999999999999E-2</v>
          </cell>
        </row>
        <row r="5">
          <cell r="F5">
            <v>-2.4899999999999999E-2</v>
          </cell>
        </row>
        <row r="6">
          <cell r="F6">
            <v>-2.2499999999999999E-2</v>
          </cell>
        </row>
        <row r="7">
          <cell r="F7">
            <v>3.2000000000000002E-3</v>
          </cell>
        </row>
        <row r="8">
          <cell r="F8">
            <v>4.1399999999999999E-2</v>
          </cell>
        </row>
        <row r="9">
          <cell r="F9">
            <v>-5.1999999999999998E-3</v>
          </cell>
        </row>
        <row r="10">
          <cell r="F10">
            <v>2.1299999999999999E-2</v>
          </cell>
        </row>
        <row r="11">
          <cell r="F11">
            <v>2.5999999999999999E-3</v>
          </cell>
        </row>
        <row r="12">
          <cell r="F12">
            <v>6.2300000000000001E-2</v>
          </cell>
        </row>
        <row r="13">
          <cell r="F13">
            <v>-1.6E-2</v>
          </cell>
        </row>
        <row r="14">
          <cell r="F14">
            <v>2.8E-3</v>
          </cell>
        </row>
        <row r="15">
          <cell r="F15">
            <v>-2E-3</v>
          </cell>
        </row>
        <row r="16">
          <cell r="F16">
            <v>-5.7000000000000002E-3</v>
          </cell>
        </row>
        <row r="17">
          <cell r="F17">
            <v>1.18E-2</v>
          </cell>
        </row>
        <row r="18">
          <cell r="F18">
            <v>6.0000000000000001E-3</v>
          </cell>
        </row>
        <row r="19">
          <cell r="F19">
            <v>1.3599999999999999E-2</v>
          </cell>
        </row>
        <row r="20">
          <cell r="F20">
            <v>3.5999999999999997E-2</v>
          </cell>
        </row>
        <row r="21">
          <cell r="F21">
            <v>3.8100000000000002E-2</v>
          </cell>
        </row>
        <row r="22">
          <cell r="F22">
            <v>-9.9900000000000003E-2</v>
          </cell>
        </row>
        <row r="23">
          <cell r="F23">
            <v>3.7000000000000002E-3</v>
          </cell>
        </row>
        <row r="24">
          <cell r="F24">
            <v>-5.3E-3</v>
          </cell>
        </row>
        <row r="25">
          <cell r="F25">
            <v>3.8399999999999997E-2</v>
          </cell>
        </row>
        <row r="26">
          <cell r="F26">
            <v>-3.4599999999999999E-2</v>
          </cell>
        </row>
        <row r="27">
          <cell r="F27">
            <v>-3.3399999999999999E-2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天赐材料002709"/>
    </sheetNames>
    <sheetDataSet>
      <sheetData sheetId="0">
        <row r="1">
          <cell r="F1" t="str">
            <v>涨幅</v>
          </cell>
        </row>
        <row r="2">
          <cell r="F2">
            <v>4.4699999999999997E-2</v>
          </cell>
        </row>
        <row r="3">
          <cell r="F3">
            <v>-4.4999999999999998E-2</v>
          </cell>
        </row>
        <row r="4">
          <cell r="F4">
            <v>-5.4000000000000003E-3</v>
          </cell>
        </row>
        <row r="5">
          <cell r="F5">
            <v>-2.0500000000000001E-2</v>
          </cell>
        </row>
        <row r="6">
          <cell r="F6">
            <v>-2.9700000000000001E-2</v>
          </cell>
        </row>
        <row r="7">
          <cell r="F7">
            <v>5.1000000000000004E-3</v>
          </cell>
        </row>
        <row r="8">
          <cell r="F8">
            <v>2.93E-2</v>
          </cell>
        </row>
        <row r="9">
          <cell r="F9">
            <v>-2.4199999999999999E-2</v>
          </cell>
        </row>
        <row r="10">
          <cell r="F10">
            <v>6.4500000000000002E-2</v>
          </cell>
        </row>
        <row r="11">
          <cell r="F11">
            <v>-2.0000000000000001E-4</v>
          </cell>
        </row>
        <row r="12">
          <cell r="F12">
            <v>5.6500000000000002E-2</v>
          </cell>
        </row>
        <row r="13">
          <cell r="F13">
            <v>-2.7400000000000001E-2</v>
          </cell>
        </row>
        <row r="14">
          <cell r="F14">
            <v>2.4199999999999999E-2</v>
          </cell>
        </row>
        <row r="15">
          <cell r="F15">
            <v>-7.4999999999999997E-3</v>
          </cell>
        </row>
        <row r="16">
          <cell r="F16">
            <v>1.7600000000000001E-2</v>
          </cell>
        </row>
        <row r="17">
          <cell r="F17">
            <v>6.3200000000000006E-2</v>
          </cell>
        </row>
        <row r="18">
          <cell r="F18">
            <v>-1.3100000000000001E-2</v>
          </cell>
        </row>
        <row r="19">
          <cell r="F19">
            <v>-5.16E-2</v>
          </cell>
        </row>
        <row r="20">
          <cell r="F20">
            <v>7.3499999999999996E-2</v>
          </cell>
        </row>
        <row r="21">
          <cell r="F21">
            <v>4.19E-2</v>
          </cell>
        </row>
        <row r="22">
          <cell r="F22">
            <v>-1.8599999999999998E-2</v>
          </cell>
        </row>
        <row r="23">
          <cell r="F23">
            <v>9.3899999999999997E-2</v>
          </cell>
        </row>
        <row r="24">
          <cell r="F24">
            <v>2.01E-2</v>
          </cell>
        </row>
        <row r="25">
          <cell r="F25">
            <v>5.7700000000000001E-2</v>
          </cell>
        </row>
        <row r="26">
          <cell r="F26">
            <v>-1.8800000000000001E-2</v>
          </cell>
        </row>
        <row r="27">
          <cell r="F27">
            <v>-7.0099999999999996E-2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海光信息688041"/>
    </sheetNames>
    <sheetDataSet>
      <sheetData sheetId="0">
        <row r="1">
          <cell r="F1" t="str">
            <v>涨幅</v>
          </cell>
        </row>
        <row r="2">
          <cell r="F2">
            <v>5.04E-2</v>
          </cell>
        </row>
        <row r="3">
          <cell r="F3">
            <v>-6.6E-3</v>
          </cell>
        </row>
        <row r="4">
          <cell r="F4">
            <v>2.12E-2</v>
          </cell>
        </row>
        <row r="5">
          <cell r="F5">
            <v>5.79E-2</v>
          </cell>
        </row>
        <row r="6">
          <cell r="F6">
            <v>1.44E-2</v>
          </cell>
        </row>
        <row r="7">
          <cell r="F7">
            <v>1.29E-2</v>
          </cell>
        </row>
        <row r="8">
          <cell r="F8">
            <v>4.0000000000000001E-3</v>
          </cell>
        </row>
        <row r="9">
          <cell r="F9">
            <v>2.7699999999999999E-2</v>
          </cell>
        </row>
        <row r="10">
          <cell r="F10">
            <v>6.7999999999999996E-3</v>
          </cell>
        </row>
        <row r="11">
          <cell r="F11">
            <v>-3.5299999999999998E-2</v>
          </cell>
        </row>
        <row r="12">
          <cell r="F12">
            <v>2.63E-2</v>
          </cell>
        </row>
        <row r="13">
          <cell r="F13">
            <v>1.6199999999999999E-2</v>
          </cell>
        </row>
        <row r="14">
          <cell r="F14">
            <v>8.2000000000000003E-2</v>
          </cell>
        </row>
        <row r="15">
          <cell r="F15">
            <v>3.95E-2</v>
          </cell>
        </row>
        <row r="16">
          <cell r="F16">
            <v>-2.4500000000000001E-2</v>
          </cell>
        </row>
        <row r="17">
          <cell r="F17">
            <v>-3.5400000000000001E-2</v>
          </cell>
        </row>
        <row r="18">
          <cell r="F18">
            <v>6.2700000000000006E-2</v>
          </cell>
        </row>
        <row r="19">
          <cell r="F19">
            <v>0.16259999999999999</v>
          </cell>
        </row>
        <row r="20">
          <cell r="F20">
            <v>-8.2000000000000007E-3</v>
          </cell>
        </row>
        <row r="21">
          <cell r="F21">
            <v>-5.3600000000000002E-2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东山精密002384"/>
    </sheetNames>
    <sheetDataSet>
      <sheetData sheetId="0">
        <row r="1">
          <cell r="F1" t="str">
            <v>涨幅</v>
          </cell>
        </row>
        <row r="2">
          <cell r="F2">
            <v>0.1</v>
          </cell>
        </row>
        <row r="3">
          <cell r="F3">
            <v>0.1</v>
          </cell>
        </row>
        <row r="4">
          <cell r="F4">
            <v>8.8300000000000003E-2</v>
          </cell>
        </row>
        <row r="5">
          <cell r="F5">
            <v>2.2800000000000001E-2</v>
          </cell>
        </row>
        <row r="6">
          <cell r="F6">
            <v>-5.7000000000000002E-3</v>
          </cell>
        </row>
        <row r="7">
          <cell r="F7">
            <v>-1.4E-3</v>
          </cell>
        </row>
        <row r="8">
          <cell r="F8">
            <v>2.5700000000000001E-2</v>
          </cell>
        </row>
        <row r="9">
          <cell r="F9">
            <v>8.3900000000000002E-2</v>
          </cell>
        </row>
        <row r="10">
          <cell r="F10">
            <v>-3.15E-2</v>
          </cell>
        </row>
        <row r="11">
          <cell r="F11">
            <v>7.9000000000000001E-2</v>
          </cell>
        </row>
        <row r="12">
          <cell r="F12">
            <v>0.1</v>
          </cell>
        </row>
        <row r="13">
          <cell r="F13">
            <v>1.6999999999999999E-3</v>
          </cell>
        </row>
        <row r="14">
          <cell r="F14">
            <v>6.6E-3</v>
          </cell>
        </row>
        <row r="15">
          <cell r="F15">
            <v>-6.4000000000000003E-3</v>
          </cell>
        </row>
        <row r="16">
          <cell r="F16">
            <v>-1.4999999999999999E-2</v>
          </cell>
        </row>
        <row r="17">
          <cell r="F17">
            <v>1.9E-3</v>
          </cell>
        </row>
        <row r="18">
          <cell r="F18">
            <v>1.35E-2</v>
          </cell>
        </row>
        <row r="19">
          <cell r="F19">
            <v>2.76E-2</v>
          </cell>
        </row>
        <row r="20">
          <cell r="F20">
            <v>0.1</v>
          </cell>
        </row>
        <row r="21">
          <cell r="F21">
            <v>1.5E-3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香农芯创300475"/>
    </sheetNames>
    <sheetDataSet>
      <sheetData sheetId="0">
        <row r="1">
          <cell r="F1" t="str">
            <v>涨幅</v>
          </cell>
        </row>
        <row r="2">
          <cell r="F2">
            <v>0.2</v>
          </cell>
        </row>
        <row r="3">
          <cell r="F3">
            <v>-4.3E-3</v>
          </cell>
        </row>
        <row r="4">
          <cell r="F4">
            <v>2.5100000000000001E-2</v>
          </cell>
        </row>
        <row r="5">
          <cell r="F5">
            <v>5.0000000000000001E-3</v>
          </cell>
        </row>
        <row r="6">
          <cell r="F6">
            <v>4.3299999999999998E-2</v>
          </cell>
        </row>
        <row r="7">
          <cell r="F7">
            <v>-2.93E-2</v>
          </cell>
        </row>
        <row r="8">
          <cell r="F8">
            <v>1.8599999999999998E-2</v>
          </cell>
        </row>
        <row r="9">
          <cell r="F9">
            <v>1.4800000000000001E-2</v>
          </cell>
        </row>
        <row r="10">
          <cell r="F10">
            <v>3.0700000000000002E-2</v>
          </cell>
        </row>
        <row r="11">
          <cell r="F11">
            <v>-1.9400000000000001E-2</v>
          </cell>
        </row>
        <row r="12">
          <cell r="F12">
            <v>8.0999999999999996E-3</v>
          </cell>
        </row>
        <row r="13">
          <cell r="F13">
            <v>-3.5299999999999998E-2</v>
          </cell>
        </row>
        <row r="14">
          <cell r="F14">
            <v>3.6200000000000003E-2</v>
          </cell>
        </row>
        <row r="15">
          <cell r="F15">
            <v>5.5199999999999999E-2</v>
          </cell>
        </row>
        <row r="16">
          <cell r="F16">
            <v>3.5999999999999999E-3</v>
          </cell>
        </row>
        <row r="17">
          <cell r="F17">
            <v>1.5699999999999999E-2</v>
          </cell>
        </row>
        <row r="18">
          <cell r="F18">
            <v>2.3E-3</v>
          </cell>
        </row>
        <row r="19">
          <cell r="F19">
            <v>0.1143</v>
          </cell>
        </row>
        <row r="20">
          <cell r="F20">
            <v>-2.8199999999999999E-2</v>
          </cell>
        </row>
        <row r="21">
          <cell r="F21">
            <v>-4.3099999999999999E-2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欣旺达300207"/>
    </sheetNames>
    <sheetDataSet>
      <sheetData sheetId="0">
        <row r="1">
          <cell r="F1" t="str">
            <v>涨幅</v>
          </cell>
        </row>
        <row r="2">
          <cell r="F2">
            <v>3.6999999999999998E-2</v>
          </cell>
        </row>
        <row r="3">
          <cell r="F3">
            <v>-3.0300000000000001E-2</v>
          </cell>
        </row>
        <row r="4">
          <cell r="F4">
            <v>7.9000000000000008E-3</v>
          </cell>
        </row>
        <row r="5">
          <cell r="F5">
            <v>2E-3</v>
          </cell>
        </row>
        <row r="6">
          <cell r="F6">
            <v>-1.1900000000000001E-2</v>
          </cell>
        </row>
        <row r="7">
          <cell r="F7">
            <v>2.1000000000000001E-2</v>
          </cell>
        </row>
        <row r="8">
          <cell r="F8">
            <v>4.4000000000000003E-3</v>
          </cell>
        </row>
        <row r="9">
          <cell r="F9">
            <v>-2.18E-2</v>
          </cell>
        </row>
        <row r="10">
          <cell r="F10">
            <v>-4.7399999999999998E-2</v>
          </cell>
        </row>
        <row r="11">
          <cell r="F11">
            <v>-2.4500000000000001E-2</v>
          </cell>
        </row>
        <row r="12">
          <cell r="F12">
            <v>-2.29E-2</v>
          </cell>
        </row>
        <row r="13">
          <cell r="F13">
            <v>4.9099999999999998E-2</v>
          </cell>
        </row>
        <row r="14">
          <cell r="F14">
            <v>-1.15E-2</v>
          </cell>
        </row>
        <row r="15">
          <cell r="F15">
            <v>1.9E-2</v>
          </cell>
        </row>
        <row r="16">
          <cell r="F16">
            <v>-2.7199999999999998E-2</v>
          </cell>
        </row>
        <row r="17">
          <cell r="F17">
            <v>-1.6899999999999998E-2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科华数据002335"/>
    </sheetNames>
    <sheetDataSet>
      <sheetData sheetId="0">
        <row r="1">
          <cell r="F1" t="str">
            <v>涨幅</v>
          </cell>
        </row>
        <row r="2">
          <cell r="F2">
            <v>2.87E-2</v>
          </cell>
        </row>
        <row r="3">
          <cell r="F3">
            <v>-6.7000000000000002E-3</v>
          </cell>
        </row>
        <row r="4">
          <cell r="F4">
            <v>2.6599999999999999E-2</v>
          </cell>
        </row>
        <row r="5">
          <cell r="F5">
            <v>-1.06E-2</v>
          </cell>
        </row>
        <row r="6">
          <cell r="F6">
            <v>4.2700000000000002E-2</v>
          </cell>
        </row>
        <row r="7">
          <cell r="F7">
            <v>5.3100000000000001E-2</v>
          </cell>
        </row>
        <row r="8">
          <cell r="F8">
            <v>3.8999999999999998E-3</v>
          </cell>
        </row>
        <row r="9">
          <cell r="F9">
            <v>-2.2000000000000001E-3</v>
          </cell>
        </row>
        <row r="10">
          <cell r="F10">
            <v>-4.2799999999999998E-2</v>
          </cell>
        </row>
        <row r="11">
          <cell r="F11">
            <v>-1.84E-2</v>
          </cell>
        </row>
        <row r="12">
          <cell r="F12">
            <v>-3.5499999999999997E-2</v>
          </cell>
        </row>
        <row r="13">
          <cell r="F13">
            <v>9.7999999999999997E-3</v>
          </cell>
        </row>
        <row r="14">
          <cell r="F14">
            <v>-1.47E-2</v>
          </cell>
        </row>
        <row r="15">
          <cell r="F15">
            <v>3.2500000000000001E-2</v>
          </cell>
        </row>
        <row r="16">
          <cell r="F16">
            <v>0.1</v>
          </cell>
        </row>
        <row r="17">
          <cell r="F17">
            <v>-1.34E-2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宏景科技301396"/>
    </sheetNames>
    <sheetDataSet>
      <sheetData sheetId="0">
        <row r="1">
          <cell r="F1" t="str">
            <v>涨幅</v>
          </cell>
        </row>
        <row r="2">
          <cell r="F2">
            <v>0.14369999999999999</v>
          </cell>
        </row>
        <row r="3">
          <cell r="F3">
            <v>8.3099999999999993E-2</v>
          </cell>
        </row>
        <row r="4">
          <cell r="F4">
            <v>0.2</v>
          </cell>
        </row>
        <row r="5">
          <cell r="F5">
            <v>-2.3300000000000001E-2</v>
          </cell>
        </row>
        <row r="6">
          <cell r="F6">
            <v>2.24E-2</v>
          </cell>
        </row>
        <row r="7">
          <cell r="F7">
            <v>-3.3500000000000002E-2</v>
          </cell>
        </row>
        <row r="8">
          <cell r="F8">
            <v>0.16089999999999999</v>
          </cell>
        </row>
        <row r="9">
          <cell r="F9">
            <v>2.7900000000000001E-2</v>
          </cell>
        </row>
        <row r="10">
          <cell r="F10">
            <v>-2.5999999999999999E-3</v>
          </cell>
        </row>
        <row r="11">
          <cell r="F11">
            <v>-5.7799999999999997E-2</v>
          </cell>
        </row>
        <row r="12">
          <cell r="F12">
            <v>7.2700000000000001E-2</v>
          </cell>
        </row>
        <row r="13">
          <cell r="F13">
            <v>-2.5399999999999999E-2</v>
          </cell>
        </row>
        <row r="14">
          <cell r="F14">
            <v>-3.27E-2</v>
          </cell>
        </row>
        <row r="15">
          <cell r="F15">
            <v>7.0699999999999999E-2</v>
          </cell>
        </row>
        <row r="16">
          <cell r="F16">
            <v>5.2699999999999997E-2</v>
          </cell>
        </row>
        <row r="17">
          <cell r="F17">
            <v>-3.3599999999999998E-2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协创数据300857"/>
    </sheetNames>
    <sheetDataSet>
      <sheetData sheetId="0">
        <row r="1">
          <cell r="F1" t="str">
            <v>涨幅</v>
          </cell>
        </row>
        <row r="2">
          <cell r="F2">
            <v>0.2</v>
          </cell>
        </row>
        <row r="3">
          <cell r="F3">
            <v>0.1246</v>
          </cell>
        </row>
        <row r="4">
          <cell r="F4">
            <v>0.13650000000000001</v>
          </cell>
        </row>
        <row r="5">
          <cell r="F5">
            <v>-6.6E-3</v>
          </cell>
        </row>
        <row r="6">
          <cell r="F6">
            <v>-2.81E-2</v>
          </cell>
        </row>
        <row r="7">
          <cell r="F7">
            <v>-1.11E-2</v>
          </cell>
        </row>
        <row r="8">
          <cell r="F8">
            <v>-0.14380000000000001</v>
          </cell>
        </row>
        <row r="9">
          <cell r="F9">
            <v>-1.4E-2</v>
          </cell>
        </row>
        <row r="10">
          <cell r="F10">
            <v>2.75E-2</v>
          </cell>
        </row>
        <row r="11">
          <cell r="F11">
            <v>-2.3400000000000001E-2</v>
          </cell>
        </row>
        <row r="12">
          <cell r="F12">
            <v>1.1599999999999999E-2</v>
          </cell>
        </row>
        <row r="13">
          <cell r="F13">
            <v>4.1300000000000003E-2</v>
          </cell>
        </row>
        <row r="14">
          <cell r="F14">
            <v>-4.4400000000000002E-2</v>
          </cell>
        </row>
        <row r="15">
          <cell r="F15">
            <v>8.3599999999999994E-2</v>
          </cell>
        </row>
        <row r="16">
          <cell r="F16">
            <v>1.2699999999999999E-2</v>
          </cell>
        </row>
        <row r="17">
          <cell r="F17">
            <v>-1.6999999999999999E-3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舒泰神300204"/>
    </sheetNames>
    <sheetDataSet>
      <sheetData sheetId="0">
        <row r="1">
          <cell r="F1" t="str">
            <v>涨幅</v>
          </cell>
        </row>
        <row r="2">
          <cell r="F2">
            <v>9.5999999999999992E-3</v>
          </cell>
        </row>
        <row r="3">
          <cell r="F3">
            <v>-2.4500000000000001E-2</v>
          </cell>
        </row>
        <row r="4">
          <cell r="F4">
            <v>-5.4000000000000003E-3</v>
          </cell>
        </row>
        <row r="5">
          <cell r="F5">
            <v>-2.86E-2</v>
          </cell>
        </row>
        <row r="6">
          <cell r="F6">
            <v>-2.7400000000000001E-2</v>
          </cell>
        </row>
        <row r="7">
          <cell r="F7">
            <v>-0.02</v>
          </cell>
        </row>
        <row r="8">
          <cell r="F8">
            <v>3.5999999999999999E-3</v>
          </cell>
        </row>
        <row r="9">
          <cell r="F9">
            <v>8.6999999999999994E-3</v>
          </cell>
        </row>
        <row r="10">
          <cell r="F10">
            <v>-7.9000000000000008E-3</v>
          </cell>
        </row>
        <row r="11">
          <cell r="F11">
            <v>4.2700000000000002E-2</v>
          </cell>
        </row>
        <row r="12">
          <cell r="F12">
            <v>-5.1999999999999998E-3</v>
          </cell>
        </row>
        <row r="13">
          <cell r="F13">
            <v>-2.58E-2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容百科技688005"/>
    </sheetNames>
    <sheetDataSet>
      <sheetData sheetId="0">
        <row r="1">
          <cell r="F1" t="str">
            <v>涨幅</v>
          </cell>
        </row>
        <row r="2">
          <cell r="F2">
            <v>-5.4000000000000003E-3</v>
          </cell>
        </row>
        <row r="3">
          <cell r="F3">
            <v>1.5E-3</v>
          </cell>
        </row>
        <row r="4">
          <cell r="F4">
            <v>3.5299999999999998E-2</v>
          </cell>
        </row>
        <row r="5">
          <cell r="F5">
            <v>9.5999999999999992E-3</v>
          </cell>
        </row>
        <row r="6">
          <cell r="F6">
            <v>2.4799999999999999E-2</v>
          </cell>
        </row>
        <row r="7">
          <cell r="F7">
            <v>8.4199999999999997E-2</v>
          </cell>
        </row>
        <row r="8">
          <cell r="F8">
            <v>-9.5299999999999996E-2</v>
          </cell>
        </row>
        <row r="9">
          <cell r="F9">
            <v>9.5899999999999999E-2</v>
          </cell>
        </row>
        <row r="10">
          <cell r="F10">
            <v>5.7999999999999996E-3</v>
          </cell>
        </row>
        <row r="11">
          <cell r="F11">
            <v>1.8499999999999999E-2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鼎胜新材603876"/>
    </sheetNames>
    <sheetDataSet>
      <sheetData sheetId="0">
        <row r="1">
          <cell r="F1" t="str">
            <v>涨幅</v>
          </cell>
        </row>
        <row r="2">
          <cell r="F2">
            <v>-3.5799999999999998E-2</v>
          </cell>
        </row>
        <row r="3">
          <cell r="F3">
            <v>-2.1999999999999999E-2</v>
          </cell>
        </row>
        <row r="4">
          <cell r="F4">
            <v>0.1</v>
          </cell>
        </row>
        <row r="5">
          <cell r="F5">
            <v>4.3799999999999999E-2</v>
          </cell>
        </row>
        <row r="6">
          <cell r="F6">
            <v>-2.7400000000000001E-2</v>
          </cell>
        </row>
        <row r="7">
          <cell r="F7">
            <v>4.3900000000000002E-2</v>
          </cell>
        </row>
        <row r="8">
          <cell r="F8">
            <v>4.2000000000000003E-2</v>
          </cell>
        </row>
        <row r="9">
          <cell r="F9">
            <v>9.3799999999999994E-2</v>
          </cell>
        </row>
        <row r="10">
          <cell r="F10">
            <v>-3.78E-2</v>
          </cell>
        </row>
        <row r="11">
          <cell r="F11">
            <v>-1.6E-2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江河集团601886"/>
    </sheetNames>
    <sheetDataSet>
      <sheetData sheetId="0">
        <row r="1">
          <cell r="F1" t="str">
            <v>涨幅</v>
          </cell>
        </row>
        <row r="2">
          <cell r="F2">
            <v>-3.0000000000000001E-3</v>
          </cell>
        </row>
        <row r="3">
          <cell r="F3">
            <v>3.0000000000000001E-3</v>
          </cell>
        </row>
        <row r="4">
          <cell r="F4">
            <v>-2.4E-2</v>
          </cell>
        </row>
        <row r="5">
          <cell r="F5">
            <v>-1.0200000000000001E-2</v>
          </cell>
        </row>
        <row r="6">
          <cell r="F6">
            <v>-9.2999999999999992E-3</v>
          </cell>
        </row>
        <row r="7">
          <cell r="F7">
            <v>-3.5499999999999997E-2</v>
          </cell>
        </row>
        <row r="8">
          <cell r="F8">
            <v>2.2700000000000001E-2</v>
          </cell>
        </row>
        <row r="9">
          <cell r="F9">
            <v>4.1999999999999997E-3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森特股份603098"/>
    </sheetNames>
    <sheetDataSet>
      <sheetData sheetId="0">
        <row r="1">
          <cell r="F1" t="str">
            <v>涨幅</v>
          </cell>
        </row>
        <row r="2">
          <cell r="F2">
            <v>-2.93E-2</v>
          </cell>
        </row>
        <row r="3">
          <cell r="F3">
            <v>0.01</v>
          </cell>
        </row>
        <row r="4">
          <cell r="F4">
            <v>-6.6E-3</v>
          </cell>
        </row>
        <row r="5">
          <cell r="F5">
            <v>1.7999999999999999E-2</v>
          </cell>
        </row>
        <row r="6">
          <cell r="F6">
            <v>-6.9500000000000006E-2</v>
          </cell>
        </row>
        <row r="7">
          <cell r="F7">
            <v>-2.0400000000000001E-2</v>
          </cell>
        </row>
        <row r="8">
          <cell r="F8">
            <v>6.9999999999999999E-4</v>
          </cell>
        </row>
        <row r="9">
          <cell r="F9">
            <v>1.7999999999999999E-2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浙江荣泰603119"/>
    </sheetNames>
    <sheetDataSet>
      <sheetData sheetId="0">
        <row r="1">
          <cell r="F1" t="str">
            <v>涨幅</v>
          </cell>
        </row>
        <row r="2">
          <cell r="F2">
            <v>5.7000000000000002E-3</v>
          </cell>
        </row>
        <row r="3">
          <cell r="F3">
            <v>-1.5599999999999999E-2</v>
          </cell>
        </row>
        <row r="4">
          <cell r="F4">
            <v>-3.39E-2</v>
          </cell>
        </row>
        <row r="5">
          <cell r="F5">
            <v>8.5000000000000006E-3</v>
          </cell>
        </row>
        <row r="6">
          <cell r="F6">
            <v>0.1</v>
          </cell>
        </row>
        <row r="7">
          <cell r="F7">
            <v>1.9E-2</v>
          </cell>
        </row>
        <row r="8">
          <cell r="F8">
            <v>5.16E-2</v>
          </cell>
        </row>
        <row r="9">
          <cell r="F9">
            <v>4.7500000000000001E-2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1"/>
  <sheetViews>
    <sheetView tabSelected="1" zoomScale="114" workbookViewId="0">
      <pane ySplit="1" topLeftCell="A2" activePane="bottomLeft" state="frozen"/>
      <selection pane="bottomLeft" activeCell="N36" sqref="N36"/>
    </sheetView>
  </sheetViews>
  <sheetFormatPr baseColWidth="10" defaultColWidth="9" defaultRowHeight="14"/>
  <cols>
    <col min="1" max="1" width="5.5" customWidth="1"/>
    <col min="2" max="2" width="13.6640625" customWidth="1"/>
    <col min="3" max="3" width="9.33203125" customWidth="1"/>
    <col min="4" max="4" width="8.33203125" customWidth="1"/>
    <col min="5" max="6" width="13.6640625" customWidth="1"/>
    <col min="7" max="7" width="12.6640625" customWidth="1"/>
    <col min="8" max="8" width="11.5" customWidth="1"/>
    <col min="9" max="9" width="18" customWidth="1"/>
    <col min="10" max="10" width="15.33203125" customWidth="1"/>
    <col min="11" max="11" width="18.6640625" customWidth="1"/>
    <col min="12" max="12" width="11.83203125" customWidth="1"/>
    <col min="15" max="15" width="10.6640625"/>
  </cols>
  <sheetData>
    <row r="1" spans="1:15" s="3" customFormat="1" ht="26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5">
      <c r="A2" s="5">
        <v>1</v>
      </c>
      <c r="B2" s="6">
        <v>46078</v>
      </c>
      <c r="C2" s="5" t="s">
        <v>12</v>
      </c>
      <c r="D2" s="5">
        <v>300285</v>
      </c>
      <c r="E2" s="5">
        <v>34.85</v>
      </c>
      <c r="F2" s="5">
        <v>20260507</v>
      </c>
      <c r="G2" s="5">
        <v>38.68</v>
      </c>
      <c r="H2" s="7">
        <f t="shared" ref="H2:H9" si="0">(G2-E2)/E2</f>
        <v>0.109899569583931</v>
      </c>
      <c r="I2" s="6">
        <v>46091</v>
      </c>
      <c r="J2" s="7">
        <f>MAX([1]国瓷材料300285!$F:$F)</f>
        <v>0.11070000000000001</v>
      </c>
      <c r="K2" s="8">
        <f>NETWORKDAYS(B2,I2,假期!A2:A34)</f>
        <v>10</v>
      </c>
      <c r="L2" s="8">
        <f>F2</f>
        <v>20260507</v>
      </c>
      <c r="O2" s="9"/>
    </row>
    <row r="3" spans="1:15">
      <c r="A3" s="8">
        <v>2</v>
      </c>
      <c r="B3" s="6">
        <v>46078</v>
      </c>
      <c r="C3" s="8" t="s">
        <v>13</v>
      </c>
      <c r="D3" s="21" t="s">
        <v>14</v>
      </c>
      <c r="E3" s="8">
        <v>25.04</v>
      </c>
      <c r="F3" s="8">
        <v>20260507</v>
      </c>
      <c r="G3" s="8">
        <v>25.15</v>
      </c>
      <c r="H3" s="10">
        <f t="shared" si="0"/>
        <v>4.3929712460063696E-3</v>
      </c>
      <c r="I3" s="6">
        <v>46078</v>
      </c>
      <c r="J3" s="10">
        <f>MAX([2]风华高科000636!$F:$F)</f>
        <v>0.1</v>
      </c>
      <c r="K3" s="8">
        <f>NETWORKDAYS(B3,I3,假期!A3:A35)</f>
        <v>1</v>
      </c>
      <c r="L3" s="8">
        <f t="shared" ref="L3:L30" si="1">F3</f>
        <v>20260507</v>
      </c>
    </row>
    <row r="4" spans="1:15">
      <c r="A4" s="8">
        <v>3</v>
      </c>
      <c r="B4" s="6">
        <v>46078</v>
      </c>
      <c r="C4" s="8" t="s">
        <v>15</v>
      </c>
      <c r="D4" s="8">
        <v>301566</v>
      </c>
      <c r="E4" s="8">
        <v>25.4</v>
      </c>
      <c r="F4" s="8">
        <v>20260507</v>
      </c>
      <c r="G4" s="8">
        <v>25.58</v>
      </c>
      <c r="H4" s="10">
        <f t="shared" si="0"/>
        <v>7.0866141732283403E-3</v>
      </c>
      <c r="I4" s="6">
        <v>46120</v>
      </c>
      <c r="J4" s="10">
        <f>MAX([3]达利凯普301566!$F:$F)</f>
        <v>7.3499999999999996E-2</v>
      </c>
      <c r="K4" s="8">
        <f>NETWORKDAYS(B4,I4,假期!A4:A36)</f>
        <v>30</v>
      </c>
      <c r="L4" s="8">
        <f t="shared" si="1"/>
        <v>20260507</v>
      </c>
    </row>
    <row r="5" spans="1:15">
      <c r="A5" s="8">
        <v>4</v>
      </c>
      <c r="B5" s="6">
        <v>46080</v>
      </c>
      <c r="C5" s="8" t="s">
        <v>16</v>
      </c>
      <c r="D5" s="8">
        <v>688059</v>
      </c>
      <c r="E5" s="8">
        <v>122.88</v>
      </c>
      <c r="F5" s="8">
        <v>20260507</v>
      </c>
      <c r="G5" s="8">
        <v>146.80000000000001</v>
      </c>
      <c r="H5" s="10">
        <f t="shared" si="0"/>
        <v>0.19466145833333301</v>
      </c>
      <c r="I5" s="6">
        <v>46141</v>
      </c>
      <c r="J5" s="10">
        <f>MAX([4]华锐精密688059!$F:$F)</f>
        <v>0.1724</v>
      </c>
      <c r="K5" s="8">
        <f>NETWORKDAYS(B5,I5,假期!A5:A37)</f>
        <v>43</v>
      </c>
      <c r="L5" s="8">
        <f t="shared" si="1"/>
        <v>20260507</v>
      </c>
    </row>
    <row r="6" spans="1:15">
      <c r="A6" s="8">
        <v>5</v>
      </c>
      <c r="B6" s="6">
        <v>46080</v>
      </c>
      <c r="C6" s="8" t="s">
        <v>17</v>
      </c>
      <c r="D6" s="8">
        <v>688257</v>
      </c>
      <c r="E6" s="8">
        <v>60.1</v>
      </c>
      <c r="F6" s="8">
        <v>20260507</v>
      </c>
      <c r="G6" s="8">
        <v>76.150000000000006</v>
      </c>
      <c r="H6" s="10">
        <f t="shared" si="0"/>
        <v>0.267054908485857</v>
      </c>
      <c r="I6" s="6">
        <v>46083</v>
      </c>
      <c r="J6" s="10">
        <f>MAX([5]新锐股份688257!$F:$F)</f>
        <v>0.1497</v>
      </c>
      <c r="K6" s="8">
        <f>NETWORKDAYS(B6,I6,假期!A6:A38)</f>
        <v>2</v>
      </c>
      <c r="L6" s="8">
        <f t="shared" si="1"/>
        <v>20260507</v>
      </c>
    </row>
    <row r="7" spans="1:15">
      <c r="A7" s="8">
        <v>6</v>
      </c>
      <c r="B7" s="6">
        <v>46080</v>
      </c>
      <c r="C7" s="8" t="s">
        <v>18</v>
      </c>
      <c r="D7" s="21" t="s">
        <v>19</v>
      </c>
      <c r="E7" s="8">
        <v>44.66</v>
      </c>
      <c r="F7" s="8">
        <v>20260507</v>
      </c>
      <c r="G7" s="8">
        <v>80.2</v>
      </c>
      <c r="H7" s="10">
        <f t="shared" si="0"/>
        <v>0.79579041648007198</v>
      </c>
      <c r="I7" s="6">
        <v>46129</v>
      </c>
      <c r="J7" s="10">
        <f>MAX([6]云南锗业002428!$F:$F)</f>
        <v>0.10009999999999999</v>
      </c>
      <c r="K7" s="8">
        <f>NETWORKDAYS(B7,I7,假期!A7:A39)</f>
        <v>35</v>
      </c>
      <c r="L7" s="8">
        <f t="shared" si="1"/>
        <v>20260507</v>
      </c>
    </row>
    <row r="8" spans="1:15">
      <c r="A8" s="8">
        <v>7</v>
      </c>
      <c r="B8" s="6">
        <v>46086</v>
      </c>
      <c r="C8" s="8" t="s">
        <v>20</v>
      </c>
      <c r="D8" s="8">
        <v>600426</v>
      </c>
      <c r="E8" s="8">
        <v>39.299999999999997</v>
      </c>
      <c r="F8" s="8">
        <v>20260507</v>
      </c>
      <c r="G8" s="8">
        <v>36.119999999999997</v>
      </c>
      <c r="H8" s="10">
        <f t="shared" si="0"/>
        <v>-8.0916030534351105E-2</v>
      </c>
      <c r="I8" s="6">
        <v>46119</v>
      </c>
      <c r="J8" s="10">
        <f>MAX([7]华鲁恒升600426!$F:$F)</f>
        <v>9.4299999999999995E-2</v>
      </c>
      <c r="K8" s="8">
        <f>NETWORKDAYS(B8,I8,假期!A8:A40)</f>
        <v>23</v>
      </c>
      <c r="L8" s="8">
        <f t="shared" si="1"/>
        <v>20260507</v>
      </c>
    </row>
    <row r="9" spans="1:15">
      <c r="A9" s="8">
        <v>8</v>
      </c>
      <c r="B9" s="6">
        <v>46086</v>
      </c>
      <c r="C9" s="8" t="s">
        <v>21</v>
      </c>
      <c r="D9" s="21" t="s">
        <v>22</v>
      </c>
      <c r="E9" s="8">
        <v>18.27</v>
      </c>
      <c r="F9" s="8">
        <v>20260507</v>
      </c>
      <c r="G9" s="8">
        <v>16.09</v>
      </c>
      <c r="H9" s="10">
        <f t="shared" si="0"/>
        <v>-0.119321291735085</v>
      </c>
      <c r="I9" s="6">
        <v>46104</v>
      </c>
      <c r="J9" s="10">
        <f>MAX([8]湖北宜化000422!$F:$F)</f>
        <v>7.8399999999999997E-2</v>
      </c>
      <c r="K9" s="8">
        <f>NETWORKDAYS(B9,I9,假期!A9:A41)</f>
        <v>13</v>
      </c>
      <c r="L9" s="8">
        <f t="shared" si="1"/>
        <v>20260507</v>
      </c>
    </row>
    <row r="10" spans="1:15">
      <c r="A10" s="8">
        <v>9</v>
      </c>
      <c r="B10" s="6">
        <v>46087</v>
      </c>
      <c r="C10" s="8" t="s">
        <v>23</v>
      </c>
      <c r="D10" s="8">
        <v>300323</v>
      </c>
      <c r="E10" s="8">
        <v>11.51</v>
      </c>
      <c r="F10" s="8">
        <v>20260507</v>
      </c>
      <c r="G10" s="8">
        <v>12.75</v>
      </c>
      <c r="H10" s="10">
        <f t="shared" ref="H10:H15" si="2">(G10-E10)/E10</f>
        <v>0.107732406602954</v>
      </c>
      <c r="I10" s="6">
        <v>46087</v>
      </c>
      <c r="J10" s="10">
        <f>MAX([9]华灿光电300323!$F:$F)</f>
        <v>0.16489999999999999</v>
      </c>
      <c r="K10" s="8">
        <f>NETWORKDAYS(B10,I10,假期!A10:A42)</f>
        <v>1</v>
      </c>
      <c r="L10" s="8">
        <f t="shared" si="1"/>
        <v>20260507</v>
      </c>
    </row>
    <row r="11" spans="1:15">
      <c r="A11" s="8">
        <v>10</v>
      </c>
      <c r="B11" s="6">
        <v>46087</v>
      </c>
      <c r="C11" s="8" t="s">
        <v>24</v>
      </c>
      <c r="D11" s="8">
        <v>688593</v>
      </c>
      <c r="E11" s="8">
        <v>35.1</v>
      </c>
      <c r="F11" s="8">
        <v>20260507</v>
      </c>
      <c r="G11" s="8">
        <v>39.94</v>
      </c>
      <c r="H11" s="10">
        <f t="shared" si="2"/>
        <v>0.137891737891738</v>
      </c>
      <c r="I11" s="6">
        <v>46149</v>
      </c>
      <c r="J11" s="10">
        <f>MAX([10]新相微688593!$F:$F)</f>
        <v>0.16309999999999999</v>
      </c>
      <c r="K11" s="8">
        <f>NETWORKDAYS(B11,I11,假期!A11:A43)</f>
        <v>41</v>
      </c>
      <c r="L11" s="8">
        <f t="shared" si="1"/>
        <v>20260507</v>
      </c>
    </row>
    <row r="12" spans="1:15">
      <c r="A12" s="8">
        <v>11</v>
      </c>
      <c r="B12" s="6">
        <v>46087</v>
      </c>
      <c r="C12" s="8" t="s">
        <v>25</v>
      </c>
      <c r="D12" s="8">
        <v>300296</v>
      </c>
      <c r="E12" s="8">
        <v>8.6199999999999992</v>
      </c>
      <c r="F12" s="8">
        <v>20260507</v>
      </c>
      <c r="G12" s="8">
        <v>6.58</v>
      </c>
      <c r="H12" s="10">
        <f t="shared" si="2"/>
        <v>-0.23665893271461699</v>
      </c>
      <c r="I12" s="6">
        <v>46120</v>
      </c>
      <c r="J12" s="10">
        <f>MAX([11]利亚德300296!$F:$F)</f>
        <v>8.1199999999999994E-2</v>
      </c>
      <c r="K12" s="8">
        <f>NETWORKDAYS(B12,I12,假期!A12:A44)</f>
        <v>23</v>
      </c>
      <c r="L12" s="8">
        <f t="shared" si="1"/>
        <v>20260507</v>
      </c>
    </row>
    <row r="13" spans="1:15">
      <c r="A13" s="8">
        <v>12</v>
      </c>
      <c r="B13" s="6">
        <v>46087</v>
      </c>
      <c r="C13" s="8" t="s">
        <v>26</v>
      </c>
      <c r="D13" s="21" t="s">
        <v>27</v>
      </c>
      <c r="E13" s="8">
        <v>11.24</v>
      </c>
      <c r="F13" s="8">
        <v>20260507</v>
      </c>
      <c r="G13" s="8">
        <v>12.08</v>
      </c>
      <c r="H13" s="10">
        <f t="shared" si="2"/>
        <v>7.4733096085409206E-2</v>
      </c>
      <c r="I13" s="6">
        <v>46094</v>
      </c>
      <c r="J13" s="10">
        <f>MAX([12]兆驰股份002429!$F:$F)</f>
        <v>0.10050000000000001</v>
      </c>
      <c r="K13" s="8">
        <f>NETWORKDAYS(B13,I13,假期!A13:A45)</f>
        <v>6</v>
      </c>
      <c r="L13" s="8">
        <f t="shared" si="1"/>
        <v>20260507</v>
      </c>
    </row>
    <row r="14" spans="1:15">
      <c r="A14" s="8">
        <v>13</v>
      </c>
      <c r="B14" s="6">
        <v>46087</v>
      </c>
      <c r="C14" s="8" t="s">
        <v>28</v>
      </c>
      <c r="D14" s="8">
        <v>600703</v>
      </c>
      <c r="E14" s="8">
        <v>17.079999999999998</v>
      </c>
      <c r="F14" s="8">
        <v>20260507</v>
      </c>
      <c r="G14" s="8">
        <v>15.14</v>
      </c>
      <c r="H14" s="10">
        <f t="shared" si="2"/>
        <v>-0.113583138173302</v>
      </c>
      <c r="I14" s="6">
        <v>46134</v>
      </c>
      <c r="J14" s="10">
        <f>MAX([13]三安光电600703!$F:$F)</f>
        <v>0.10009999999999999</v>
      </c>
      <c r="K14" s="8">
        <f>NETWORKDAYS(B14,I14,假期!A14:A46)</f>
        <v>33</v>
      </c>
      <c r="L14" s="8">
        <f t="shared" si="1"/>
        <v>20260507</v>
      </c>
    </row>
    <row r="15" spans="1:15">
      <c r="A15" s="8">
        <v>14</v>
      </c>
      <c r="B15" s="6">
        <v>46087</v>
      </c>
      <c r="C15" s="8" t="s">
        <v>29</v>
      </c>
      <c r="D15" s="8">
        <v>300102</v>
      </c>
      <c r="E15" s="8">
        <v>35.200000000000003</v>
      </c>
      <c r="F15" s="8">
        <v>20260507</v>
      </c>
      <c r="G15" s="8">
        <v>31.27</v>
      </c>
      <c r="H15" s="10">
        <f t="shared" si="2"/>
        <v>-0.111647727272727</v>
      </c>
      <c r="I15" s="6">
        <v>46132</v>
      </c>
      <c r="J15" s="10">
        <f>MAX([14]乾照光电300102!$F:$F)</f>
        <v>7.9299999999999995E-2</v>
      </c>
      <c r="K15" s="8">
        <f>NETWORKDAYS(B15,I15,假期!A15:A47)</f>
        <v>31</v>
      </c>
      <c r="L15" s="8">
        <f t="shared" si="1"/>
        <v>20260507</v>
      </c>
    </row>
    <row r="16" spans="1:15">
      <c r="A16" s="8">
        <v>15</v>
      </c>
      <c r="B16" s="6">
        <v>46091</v>
      </c>
      <c r="C16" s="8" t="s">
        <v>30</v>
      </c>
      <c r="D16" s="8">
        <v>300624</v>
      </c>
      <c r="E16" s="8">
        <v>80.290000000000006</v>
      </c>
      <c r="F16" s="8">
        <v>20260507</v>
      </c>
      <c r="G16" s="8">
        <v>71.290000000000006</v>
      </c>
      <c r="H16" s="10">
        <f t="shared" ref="H16:H22" si="3">(G16-E16)/E16</f>
        <v>-0.112093660480757</v>
      </c>
      <c r="I16" s="6">
        <v>46120</v>
      </c>
      <c r="J16" s="10">
        <f>MAX([15]万兴科技300624!$F:$F)</f>
        <v>9.8500000000000004E-2</v>
      </c>
      <c r="K16" s="8">
        <f>NETWORKDAYS(B16,I16,假期!A16:A48)</f>
        <v>21</v>
      </c>
      <c r="L16" s="8">
        <f t="shared" si="1"/>
        <v>20260507</v>
      </c>
    </row>
    <row r="17" spans="1:12">
      <c r="A17" s="8">
        <v>16</v>
      </c>
      <c r="B17" s="6">
        <v>46091</v>
      </c>
      <c r="C17" s="8" t="s">
        <v>31</v>
      </c>
      <c r="D17" s="8">
        <v>688158</v>
      </c>
      <c r="E17" s="8">
        <v>51.89</v>
      </c>
      <c r="F17" s="8">
        <v>20260507</v>
      </c>
      <c r="G17" s="8">
        <v>52.76</v>
      </c>
      <c r="H17" s="10">
        <f t="shared" si="3"/>
        <v>1.67662362690306E-2</v>
      </c>
      <c r="I17" s="6">
        <v>46120</v>
      </c>
      <c r="J17" s="10">
        <f>MAX([16]优刻得688158!$F:$F)</f>
        <v>0.13950000000000001</v>
      </c>
      <c r="K17" s="8">
        <f>NETWORKDAYS(B17,I17,假期!A17:A49)</f>
        <v>22</v>
      </c>
      <c r="L17" s="8">
        <f t="shared" si="1"/>
        <v>20260507</v>
      </c>
    </row>
    <row r="18" spans="1:12">
      <c r="A18" s="8">
        <v>17</v>
      </c>
      <c r="B18" s="6">
        <v>46091</v>
      </c>
      <c r="C18" s="8" t="s">
        <v>32</v>
      </c>
      <c r="D18" s="8">
        <v>300113</v>
      </c>
      <c r="E18" s="8">
        <v>30.88</v>
      </c>
      <c r="F18" s="8">
        <v>20260507</v>
      </c>
      <c r="G18" s="8">
        <v>28.92</v>
      </c>
      <c r="H18" s="10">
        <f t="shared" si="3"/>
        <v>-6.3471502590673495E-2</v>
      </c>
      <c r="I18" s="6">
        <v>46120</v>
      </c>
      <c r="J18" s="10">
        <f>MAX([17]顺网科技300113!$F:$F)</f>
        <v>0.1323</v>
      </c>
      <c r="K18" s="8">
        <f>NETWORKDAYS(B18,I18,假期!A18:A50)</f>
        <v>22</v>
      </c>
      <c r="L18" s="8">
        <f t="shared" si="1"/>
        <v>20260507</v>
      </c>
    </row>
    <row r="19" spans="1:12">
      <c r="A19" s="8">
        <v>18</v>
      </c>
      <c r="B19" s="6">
        <v>46091</v>
      </c>
      <c r="C19" s="8" t="s">
        <v>33</v>
      </c>
      <c r="D19" s="8">
        <v>300496</v>
      </c>
      <c r="E19" s="8">
        <v>72</v>
      </c>
      <c r="F19" s="8">
        <v>20260507</v>
      </c>
      <c r="G19" s="8">
        <v>66.12</v>
      </c>
      <c r="H19" s="10">
        <f t="shared" si="3"/>
        <v>-8.1666666666666596E-2</v>
      </c>
      <c r="I19" s="6">
        <v>46120</v>
      </c>
      <c r="J19" s="10">
        <f>MAX([18]中科创达300496!$F:$F)</f>
        <v>8.0399999999999999E-2</v>
      </c>
      <c r="K19" s="8">
        <f>NETWORKDAYS(B19,I19,假期!A19:A51)</f>
        <v>22</v>
      </c>
      <c r="L19" s="8">
        <f t="shared" si="1"/>
        <v>20260507</v>
      </c>
    </row>
    <row r="20" spans="1:12">
      <c r="A20" s="8">
        <v>19</v>
      </c>
      <c r="B20" s="6">
        <v>46091</v>
      </c>
      <c r="C20" s="8" t="s">
        <v>34</v>
      </c>
      <c r="D20" s="23" t="s">
        <v>75</v>
      </c>
      <c r="E20" s="8">
        <v>42.15</v>
      </c>
      <c r="F20" s="8">
        <v>20260507</v>
      </c>
      <c r="G20" s="8">
        <v>37.75</v>
      </c>
      <c r="H20" s="10">
        <f t="shared" si="3"/>
        <v>-0.10438908659549199</v>
      </c>
      <c r="I20" s="6">
        <v>46120</v>
      </c>
      <c r="J20" s="10">
        <f>MAX([19]拓维信息002261!$F:$F)</f>
        <v>7.0699999999999999E-2</v>
      </c>
      <c r="K20" s="8">
        <f>NETWORKDAYS(B20,I20,假期!A20:A52)</f>
        <v>22</v>
      </c>
      <c r="L20" s="8">
        <f t="shared" si="1"/>
        <v>20260507</v>
      </c>
    </row>
    <row r="21" spans="1:12">
      <c r="A21" s="8">
        <v>20</v>
      </c>
      <c r="B21" s="6">
        <v>46091</v>
      </c>
      <c r="C21" s="8" t="s">
        <v>35</v>
      </c>
      <c r="D21" s="8">
        <v>603893</v>
      </c>
      <c r="E21" s="8">
        <v>179.8</v>
      </c>
      <c r="F21" s="8">
        <v>20260507</v>
      </c>
      <c r="G21" s="8">
        <v>181.06</v>
      </c>
      <c r="H21" s="10">
        <f t="shared" si="3"/>
        <v>7.0077864293659102E-3</v>
      </c>
      <c r="I21" s="6">
        <v>46120</v>
      </c>
      <c r="J21" s="10">
        <f>MAX([20]瑞芯微603893!$F:$F)</f>
        <v>8.0299999999999996E-2</v>
      </c>
      <c r="K21" s="8">
        <f>NETWORKDAYS(B21,I21,假期!A21:A53)</f>
        <v>22</v>
      </c>
      <c r="L21" s="8">
        <f t="shared" si="1"/>
        <v>20260507</v>
      </c>
    </row>
    <row r="22" spans="1:12">
      <c r="A22" s="8">
        <v>21</v>
      </c>
      <c r="B22" s="6">
        <v>46091</v>
      </c>
      <c r="C22" s="8" t="s">
        <v>36</v>
      </c>
      <c r="D22" s="8">
        <v>300352</v>
      </c>
      <c r="E22" s="8">
        <v>7.64</v>
      </c>
      <c r="F22" s="8">
        <v>20260507</v>
      </c>
      <c r="G22" s="8">
        <v>4.5999999999999996</v>
      </c>
      <c r="H22" s="10">
        <f t="shared" si="3"/>
        <v>-0.39790575916230397</v>
      </c>
      <c r="I22" s="6">
        <v>46128</v>
      </c>
      <c r="J22" s="10">
        <f>MAX([21]北信源300352!$F:$F)</f>
        <v>0.11409999999999999</v>
      </c>
      <c r="K22" s="8">
        <f>NETWORKDAYS(B22,I22,假期!A22:A54)</f>
        <v>28</v>
      </c>
      <c r="L22" s="8">
        <f t="shared" si="1"/>
        <v>20260507</v>
      </c>
    </row>
    <row r="23" spans="1:12">
      <c r="A23" s="8">
        <v>22</v>
      </c>
      <c r="B23" s="6">
        <v>46093</v>
      </c>
      <c r="C23" s="8" t="s">
        <v>37</v>
      </c>
      <c r="D23" s="21" t="s">
        <v>38</v>
      </c>
      <c r="E23" s="8">
        <v>15.85</v>
      </c>
      <c r="F23" s="8">
        <v>20260507</v>
      </c>
      <c r="G23" s="8">
        <v>13.96</v>
      </c>
      <c r="H23" s="10">
        <f t="shared" ref="H23:H30" si="4">(G23-E23)/E23</f>
        <v>-0.119242902208202</v>
      </c>
      <c r="I23" s="6">
        <v>46106</v>
      </c>
      <c r="J23" s="10">
        <f>MAX([22]金杯电工002533!$F:$F)</f>
        <v>5.0299999999999997E-2</v>
      </c>
      <c r="K23" s="8">
        <f>NETWORKDAYS(B23,I23,假期!A23:A55)</f>
        <v>10</v>
      </c>
      <c r="L23" s="8">
        <f t="shared" si="1"/>
        <v>20260507</v>
      </c>
    </row>
    <row r="24" spans="1:12">
      <c r="A24" s="8">
        <v>23</v>
      </c>
      <c r="B24" s="6">
        <v>46093</v>
      </c>
      <c r="C24" s="8" t="s">
        <v>39</v>
      </c>
      <c r="D24" s="8">
        <v>600563</v>
      </c>
      <c r="E24" s="8">
        <v>119</v>
      </c>
      <c r="F24" s="8">
        <v>20260507</v>
      </c>
      <c r="G24" s="8">
        <v>124.13</v>
      </c>
      <c r="H24" s="10">
        <f t="shared" si="4"/>
        <v>4.3109243697478997E-2</v>
      </c>
      <c r="I24" s="6">
        <v>46099</v>
      </c>
      <c r="J24" s="10">
        <f>MAX([23]法拉电子600563!$F:$F)</f>
        <v>8.2299999999999998E-2</v>
      </c>
      <c r="K24" s="8">
        <f>NETWORKDAYS(B24,I24,假期!A24:A56)</f>
        <v>5</v>
      </c>
      <c r="L24" s="8">
        <f t="shared" si="1"/>
        <v>20260507</v>
      </c>
    </row>
    <row r="25" spans="1:12">
      <c r="A25" s="8">
        <v>24</v>
      </c>
      <c r="B25" s="6">
        <v>46093</v>
      </c>
      <c r="C25" s="8" t="s">
        <v>40</v>
      </c>
      <c r="D25" s="8">
        <v>300712</v>
      </c>
      <c r="E25" s="8">
        <v>32.32</v>
      </c>
      <c r="F25" s="8">
        <v>20260507</v>
      </c>
      <c r="G25" s="8">
        <v>27.22</v>
      </c>
      <c r="H25" s="11">
        <f t="shared" si="4"/>
        <v>-0.15779702970296999</v>
      </c>
      <c r="I25" s="6">
        <v>46105</v>
      </c>
      <c r="J25" s="10">
        <f>MAX([24]永福股份300712!$F:$F)</f>
        <v>5.3400000000000003E-2</v>
      </c>
      <c r="K25" s="8">
        <f>NETWORKDAYS(B25,I25,假期!A25:A57)</f>
        <v>9</v>
      </c>
      <c r="L25" s="8">
        <f t="shared" si="1"/>
        <v>20260507</v>
      </c>
    </row>
    <row r="26" spans="1:12">
      <c r="A26" s="8">
        <v>25</v>
      </c>
      <c r="B26" s="6">
        <v>46111</v>
      </c>
      <c r="C26" s="8" t="s">
        <v>41</v>
      </c>
      <c r="D26" s="21" t="s">
        <v>42</v>
      </c>
      <c r="E26" s="8">
        <v>23.12</v>
      </c>
      <c r="F26" s="8">
        <v>20260507</v>
      </c>
      <c r="G26" s="8">
        <v>24.52</v>
      </c>
      <c r="H26" s="10">
        <f t="shared" si="4"/>
        <v>6.0553633217993001E-2</v>
      </c>
      <c r="I26" s="6">
        <v>46126</v>
      </c>
      <c r="J26" s="10">
        <f>MAX([25]永太科技002326!$F:$F)</f>
        <v>6.2300000000000001E-2</v>
      </c>
      <c r="K26" s="8">
        <f>NETWORKDAYS(B26,I26,假期!A26:A58)</f>
        <v>12</v>
      </c>
      <c r="L26" s="8">
        <f t="shared" si="1"/>
        <v>20260507</v>
      </c>
    </row>
    <row r="27" spans="1:12">
      <c r="A27" s="8">
        <v>26</v>
      </c>
      <c r="B27" s="6">
        <v>46111</v>
      </c>
      <c r="C27" s="8" t="s">
        <v>43</v>
      </c>
      <c r="D27" s="21" t="s">
        <v>44</v>
      </c>
      <c r="E27" s="8">
        <v>47.23</v>
      </c>
      <c r="F27" s="8">
        <v>20260507</v>
      </c>
      <c r="G27" s="8">
        <v>62.8</v>
      </c>
      <c r="H27" s="10">
        <f t="shared" si="4"/>
        <v>0.329663349565954</v>
      </c>
      <c r="I27" s="6">
        <v>46141</v>
      </c>
      <c r="J27" s="10">
        <f>MAX([26]天赐材料002709!$F:$F)</f>
        <v>9.3899999999999997E-2</v>
      </c>
      <c r="K27" s="8">
        <f>NETWORKDAYS(B27,I27,假期!A27:A59)</f>
        <v>23</v>
      </c>
      <c r="L27" s="8">
        <f t="shared" si="1"/>
        <v>20260507</v>
      </c>
    </row>
    <row r="28" spans="1:12">
      <c r="A28" s="8">
        <v>27</v>
      </c>
      <c r="B28" s="6">
        <v>46120</v>
      </c>
      <c r="C28" s="8" t="s">
        <v>45</v>
      </c>
      <c r="D28" s="8">
        <v>688041</v>
      </c>
      <c r="E28" s="8">
        <v>226.1</v>
      </c>
      <c r="F28" s="8">
        <v>20260507</v>
      </c>
      <c r="G28" s="8">
        <v>341.6</v>
      </c>
      <c r="H28" s="10">
        <f t="shared" si="4"/>
        <v>0.51083591331269396</v>
      </c>
      <c r="I28" s="6">
        <v>46148</v>
      </c>
      <c r="J28" s="10">
        <f>MAX([27]海光信息688041!$F:$F)</f>
        <v>0.16259999999999999</v>
      </c>
      <c r="K28" s="8">
        <f>NETWORKDAYS(B28,I28,假期!A28:A60)</f>
        <v>21</v>
      </c>
      <c r="L28" s="8">
        <f t="shared" si="1"/>
        <v>20260507</v>
      </c>
    </row>
    <row r="29" spans="1:12">
      <c r="A29" s="8">
        <v>28</v>
      </c>
      <c r="B29" s="6">
        <v>46120</v>
      </c>
      <c r="C29" s="8" t="s">
        <v>46</v>
      </c>
      <c r="D29" s="21" t="s">
        <v>47</v>
      </c>
      <c r="E29" s="8">
        <v>119.91</v>
      </c>
      <c r="F29" s="8">
        <v>20260507</v>
      </c>
      <c r="G29" s="8">
        <v>211.07</v>
      </c>
      <c r="H29" s="10">
        <f t="shared" si="4"/>
        <v>0.76023684429989202</v>
      </c>
      <c r="I29" s="6">
        <v>46120</v>
      </c>
      <c r="J29" s="10">
        <f>MAX([28]东山精密002384!$F:$F)</f>
        <v>0.1</v>
      </c>
      <c r="K29" s="8">
        <f>NETWORKDAYS(B29,I29,假期!A29:A61)</f>
        <v>1</v>
      </c>
      <c r="L29" s="8">
        <f t="shared" si="1"/>
        <v>20260507</v>
      </c>
    </row>
    <row r="30" spans="1:12">
      <c r="A30" s="8">
        <v>29</v>
      </c>
      <c r="B30" s="6">
        <v>46120</v>
      </c>
      <c r="C30" s="8" t="s">
        <v>48</v>
      </c>
      <c r="D30" s="8">
        <v>300475</v>
      </c>
      <c r="E30" s="8">
        <v>145.71</v>
      </c>
      <c r="F30" s="8">
        <v>20260507</v>
      </c>
      <c r="G30" s="8">
        <v>189.18</v>
      </c>
      <c r="H30" s="10">
        <f t="shared" si="4"/>
        <v>0.29833230389129101</v>
      </c>
      <c r="I30" s="6">
        <v>46120</v>
      </c>
      <c r="J30" s="10">
        <f>MAX([29]香农芯创300475!$F:$F)</f>
        <v>0.2</v>
      </c>
      <c r="K30" s="8">
        <f>NETWORKDAYS(B30,I30,假期!A30:A62)</f>
        <v>1</v>
      </c>
      <c r="L30" s="8">
        <f t="shared" si="1"/>
        <v>20260507</v>
      </c>
    </row>
    <row r="31" spans="1:12">
      <c r="A31" s="8">
        <v>30</v>
      </c>
      <c r="B31" s="6">
        <v>46126</v>
      </c>
      <c r="C31" s="8" t="s">
        <v>49</v>
      </c>
      <c r="D31" s="8">
        <v>300207</v>
      </c>
      <c r="E31" s="8">
        <v>28.95</v>
      </c>
      <c r="F31" s="8">
        <v>20260514</v>
      </c>
      <c r="G31" s="8">
        <v>25.51</v>
      </c>
      <c r="H31" s="10">
        <f t="shared" ref="H31:H50" si="5">(G31-E31)/E31</f>
        <v>-0.11882556131260801</v>
      </c>
      <c r="I31" s="12">
        <v>46141</v>
      </c>
      <c r="J31" s="10">
        <f>MAX([30]欣旺达300207!$F:$F)</f>
        <v>4.9099999999999998E-2</v>
      </c>
      <c r="K31" s="8">
        <f>NETWORKDAYS(B31,I31,假期!A32:A64)</f>
        <v>12</v>
      </c>
      <c r="L31" s="8">
        <v>20260514</v>
      </c>
    </row>
    <row r="32" spans="1:12">
      <c r="A32" s="8">
        <v>31</v>
      </c>
      <c r="B32" s="6">
        <v>46126</v>
      </c>
      <c r="C32" s="8" t="s">
        <v>50</v>
      </c>
      <c r="D32" s="23" t="s">
        <v>76</v>
      </c>
      <c r="E32" s="8">
        <v>60.1</v>
      </c>
      <c r="F32" s="8">
        <v>20260514</v>
      </c>
      <c r="G32" s="13">
        <v>65.8</v>
      </c>
      <c r="H32" s="10">
        <f t="shared" si="5"/>
        <v>9.4841930116472503E-2</v>
      </c>
      <c r="I32" s="12">
        <v>46149</v>
      </c>
      <c r="J32" s="10">
        <f>MAX([31]科华数据002335!$F:$F)</f>
        <v>0.1</v>
      </c>
      <c r="K32" s="8">
        <f>NETWORKDAYS(B32,I32,假期!A33:A65)</f>
        <v>18</v>
      </c>
      <c r="L32" s="8">
        <v>20260514</v>
      </c>
    </row>
    <row r="33" spans="1:12">
      <c r="A33" s="8">
        <v>32</v>
      </c>
      <c r="B33" s="6">
        <v>46126</v>
      </c>
      <c r="C33" s="8" t="s">
        <v>52</v>
      </c>
      <c r="D33" s="8">
        <v>301396</v>
      </c>
      <c r="E33" s="8">
        <v>214.97</v>
      </c>
      <c r="F33" s="8">
        <v>20260514</v>
      </c>
      <c r="G33" s="8">
        <v>330.28</v>
      </c>
      <c r="H33" s="10">
        <f t="shared" si="5"/>
        <v>0.53640042796669296</v>
      </c>
      <c r="I33" s="12">
        <v>46128</v>
      </c>
      <c r="J33" s="10">
        <f>MAX([32]宏景科技301396!$F:$F)</f>
        <v>0.2</v>
      </c>
      <c r="K33" s="8">
        <f>NETWORKDAYS(B33,I33,假期!A34:A66)</f>
        <v>3</v>
      </c>
      <c r="L33" s="8">
        <v>20260514</v>
      </c>
    </row>
    <row r="34" spans="1:12">
      <c r="A34" s="8">
        <v>33</v>
      </c>
      <c r="B34" s="6">
        <v>46126</v>
      </c>
      <c r="C34" s="8" t="s">
        <v>53</v>
      </c>
      <c r="D34" s="8">
        <v>300857</v>
      </c>
      <c r="E34" s="8">
        <v>240.06</v>
      </c>
      <c r="F34" s="8">
        <v>20260514</v>
      </c>
      <c r="G34" s="8">
        <v>288.02999999999997</v>
      </c>
      <c r="H34" s="10">
        <f t="shared" si="5"/>
        <v>0.19982504373906501</v>
      </c>
      <c r="I34" s="12">
        <v>46126</v>
      </c>
      <c r="J34" s="10">
        <f>MAX([33]协创数据300857!$F:$F)</f>
        <v>0.2</v>
      </c>
      <c r="K34" s="8">
        <f>NETWORKDAYS(B34,I34,假期!A35:A67)</f>
        <v>1</v>
      </c>
      <c r="L34" s="8">
        <v>20260514</v>
      </c>
    </row>
    <row r="35" spans="1:12">
      <c r="A35" s="8">
        <v>34</v>
      </c>
      <c r="B35" s="6">
        <v>46127</v>
      </c>
      <c r="C35" s="8" t="s">
        <v>54</v>
      </c>
      <c r="D35" s="8">
        <v>301071</v>
      </c>
      <c r="E35" s="8">
        <v>44.8</v>
      </c>
      <c r="F35" s="8">
        <v>20260515</v>
      </c>
      <c r="G35" s="8">
        <v>57.11</v>
      </c>
      <c r="H35" s="10">
        <f t="shared" si="5"/>
        <v>0.27477678571428599</v>
      </c>
      <c r="I35" s="12">
        <v>46155</v>
      </c>
      <c r="J35" s="10">
        <v>9.4E-2</v>
      </c>
      <c r="K35" s="8">
        <f>NETWORKDAYS(B35,I35,假期!A36:A68)</f>
        <v>21</v>
      </c>
      <c r="L35" s="8">
        <v>20260515</v>
      </c>
    </row>
    <row r="36" spans="1:12">
      <c r="A36" s="8">
        <v>35</v>
      </c>
      <c r="B36" s="6">
        <v>46127</v>
      </c>
      <c r="C36" s="8" t="s">
        <v>55</v>
      </c>
      <c r="D36" s="8">
        <v>300179</v>
      </c>
      <c r="E36" s="8">
        <v>24.51</v>
      </c>
      <c r="F36" s="8">
        <v>20260515</v>
      </c>
      <c r="G36" s="8">
        <v>28.63</v>
      </c>
      <c r="H36" s="10">
        <f t="shared" si="5"/>
        <v>0.16809465524275799</v>
      </c>
      <c r="I36" s="12">
        <v>46155</v>
      </c>
      <c r="J36" s="10">
        <v>7.4700000000000003E-2</v>
      </c>
      <c r="K36" s="8">
        <f>NETWORKDAYS(B36,I36,假期!A37:A69)</f>
        <v>21</v>
      </c>
      <c r="L36" s="8">
        <v>20260515</v>
      </c>
    </row>
    <row r="37" spans="1:12">
      <c r="A37" s="8">
        <v>36</v>
      </c>
      <c r="B37" s="6">
        <v>46132</v>
      </c>
      <c r="C37" s="8" t="s">
        <v>56</v>
      </c>
      <c r="D37" s="8">
        <v>300204</v>
      </c>
      <c r="E37" s="8">
        <v>30.01</v>
      </c>
      <c r="F37" s="8">
        <v>20260520</v>
      </c>
      <c r="G37" s="8">
        <v>26.58</v>
      </c>
      <c r="H37" s="10">
        <f t="shared" si="5"/>
        <v>-0.114295234921693</v>
      </c>
      <c r="I37" s="12">
        <v>46148</v>
      </c>
      <c r="J37" s="10">
        <f>MAX([34]舒泰神300204!$F:$F)</f>
        <v>4.2700000000000002E-2</v>
      </c>
      <c r="K37" s="8">
        <f>NETWORKDAYS(B37,I37,假期!A38:A70)</f>
        <v>13</v>
      </c>
      <c r="L37" s="8">
        <v>20260520</v>
      </c>
    </row>
    <row r="38" spans="1:12">
      <c r="A38" s="8">
        <v>37</v>
      </c>
      <c r="B38" s="6">
        <v>46132</v>
      </c>
      <c r="C38" s="8" t="s">
        <v>57</v>
      </c>
      <c r="D38" s="8">
        <v>688336</v>
      </c>
      <c r="E38" s="8">
        <v>85.75</v>
      </c>
      <c r="F38" s="8">
        <v>20260520</v>
      </c>
      <c r="G38" s="8">
        <v>63.48</v>
      </c>
      <c r="H38" s="10">
        <f t="shared" si="5"/>
        <v>-0.25970845481049598</v>
      </c>
      <c r="I38" s="12">
        <v>46153</v>
      </c>
      <c r="J38" s="10">
        <v>2.8000000000000001E-2</v>
      </c>
      <c r="K38" s="8">
        <f>NETWORKDAYS(B38,I38,假期!A39:A71)</f>
        <v>16</v>
      </c>
      <c r="L38" s="8">
        <v>20260520</v>
      </c>
    </row>
    <row r="39" spans="1:12">
      <c r="A39" s="8">
        <v>38</v>
      </c>
      <c r="B39" s="6">
        <v>46134</v>
      </c>
      <c r="C39" s="8" t="s">
        <v>58</v>
      </c>
      <c r="D39" s="8">
        <v>688005</v>
      </c>
      <c r="E39" s="8">
        <v>34.299999999999997</v>
      </c>
      <c r="F39" s="8">
        <v>20260522</v>
      </c>
      <c r="G39" s="13">
        <v>34.909999999999997</v>
      </c>
      <c r="H39" s="10">
        <f t="shared" si="5"/>
        <v>1.77842565597667E-2</v>
      </c>
      <c r="I39" s="12">
        <v>46148</v>
      </c>
      <c r="J39" s="10">
        <f>MAX([35]容百科技688005!$F:$F)</f>
        <v>9.5899999999999999E-2</v>
      </c>
      <c r="K39" s="8">
        <f>NETWORKDAYS(B39,I39,假期!A40:A72)</f>
        <v>11</v>
      </c>
      <c r="L39" s="8">
        <v>20260522</v>
      </c>
    </row>
    <row r="40" spans="1:12">
      <c r="A40" s="8">
        <v>39</v>
      </c>
      <c r="B40" s="6">
        <v>46134</v>
      </c>
      <c r="C40" s="8" t="s">
        <v>59</v>
      </c>
      <c r="D40" s="8">
        <v>603876</v>
      </c>
      <c r="E40" s="8">
        <v>26.6</v>
      </c>
      <c r="F40" s="8">
        <v>20260522</v>
      </c>
      <c r="G40" s="8">
        <v>27.5</v>
      </c>
      <c r="H40" s="10">
        <f t="shared" si="5"/>
        <v>3.3834586466165398E-2</v>
      </c>
      <c r="I40" s="12">
        <v>46136</v>
      </c>
      <c r="J40" s="10">
        <f>MAX([36]鼎胜新材603876!$F:$F)</f>
        <v>0.1</v>
      </c>
      <c r="K40" s="8">
        <f>NETWORKDAYS(B40,I40,假期!A41:A73)</f>
        <v>3</v>
      </c>
      <c r="L40" s="8">
        <v>20260522</v>
      </c>
    </row>
    <row r="41" spans="1:12">
      <c r="A41" s="8">
        <v>40</v>
      </c>
      <c r="B41" s="6">
        <v>46136</v>
      </c>
      <c r="C41" s="8" t="s">
        <v>60</v>
      </c>
      <c r="D41" s="8">
        <v>601886</v>
      </c>
      <c r="E41" s="8">
        <v>10.16</v>
      </c>
      <c r="F41" s="8">
        <v>20260522</v>
      </c>
      <c r="G41" s="8">
        <v>8.89</v>
      </c>
      <c r="H41" s="10">
        <f t="shared" si="5"/>
        <v>-0.125</v>
      </c>
      <c r="I41" s="12">
        <v>46149</v>
      </c>
      <c r="J41" s="10">
        <f>MAX([37]江河集团601886!$F:$F)</f>
        <v>2.2700000000000001E-2</v>
      </c>
      <c r="K41" s="8">
        <f>NETWORKDAYS(B41,I41,假期!A42:A74)</f>
        <v>10</v>
      </c>
      <c r="L41" s="8">
        <v>20260522</v>
      </c>
    </row>
    <row r="42" spans="1:12">
      <c r="A42" s="8">
        <v>41</v>
      </c>
      <c r="B42" s="6">
        <v>46136</v>
      </c>
      <c r="C42" s="8" t="s">
        <v>61</v>
      </c>
      <c r="D42" s="8">
        <v>603098</v>
      </c>
      <c r="E42" s="8">
        <v>15.25</v>
      </c>
      <c r="F42" s="8">
        <v>20260522</v>
      </c>
      <c r="G42" s="8">
        <v>12.65</v>
      </c>
      <c r="H42" s="10">
        <f t="shared" si="5"/>
        <v>-0.17049180327868901</v>
      </c>
      <c r="I42" s="12">
        <v>46141</v>
      </c>
      <c r="J42" s="10">
        <f>MAX([38]森特股份603098!$F:$F)</f>
        <v>1.7999999999999999E-2</v>
      </c>
      <c r="K42" s="8">
        <f>NETWORKDAYS(B42,I42,假期!A43:A75)</f>
        <v>4</v>
      </c>
      <c r="L42" s="8">
        <v>20260522</v>
      </c>
    </row>
    <row r="43" spans="1:12">
      <c r="A43" s="8">
        <v>42</v>
      </c>
      <c r="B43" s="6">
        <v>46136</v>
      </c>
      <c r="C43" s="8" t="s">
        <v>62</v>
      </c>
      <c r="D43" s="8">
        <v>603319</v>
      </c>
      <c r="E43" s="8">
        <v>38.01</v>
      </c>
      <c r="F43" s="8">
        <v>20260522</v>
      </c>
      <c r="G43" s="8">
        <v>31.87</v>
      </c>
      <c r="H43" s="10">
        <f t="shared" si="5"/>
        <v>-0.161536437779532</v>
      </c>
      <c r="I43" s="12">
        <v>46163</v>
      </c>
      <c r="J43" s="10">
        <v>8.8099999999999998E-2</v>
      </c>
      <c r="K43" s="8">
        <f>NETWORKDAYS(B43,I43,假期!A44:A76)</f>
        <v>20</v>
      </c>
      <c r="L43" s="8">
        <v>20260522</v>
      </c>
    </row>
    <row r="44" spans="1:12">
      <c r="A44" s="8">
        <v>43</v>
      </c>
      <c r="B44" s="6">
        <v>46136</v>
      </c>
      <c r="C44" s="8" t="s">
        <v>63</v>
      </c>
      <c r="D44" s="8">
        <v>603119</v>
      </c>
      <c r="E44" s="8">
        <v>77.81</v>
      </c>
      <c r="F44" s="8">
        <v>20260522</v>
      </c>
      <c r="G44" s="8">
        <v>79.900000000000006</v>
      </c>
      <c r="H44" s="10">
        <f t="shared" si="5"/>
        <v>2.6860300732553698E-2</v>
      </c>
      <c r="I44" s="12">
        <v>46142</v>
      </c>
      <c r="J44" s="10">
        <f>MAX([39]浙江荣泰603119!$F:$F)</f>
        <v>0.1</v>
      </c>
      <c r="K44" s="8">
        <f>NETWORKDAYS(B44,I44,假期!A45:A77)</f>
        <v>5</v>
      </c>
      <c r="L44" s="8">
        <v>20260522</v>
      </c>
    </row>
    <row r="45" spans="1:12">
      <c r="A45" s="14">
        <v>44</v>
      </c>
      <c r="B45" s="15">
        <v>46140</v>
      </c>
      <c r="C45" s="14" t="s">
        <v>64</v>
      </c>
      <c r="D45" s="24" t="s">
        <v>77</v>
      </c>
      <c r="E45" s="14">
        <v>32.14</v>
      </c>
      <c r="F45" s="8">
        <v>20260528</v>
      </c>
      <c r="G45" s="14">
        <v>29.73</v>
      </c>
      <c r="H45" s="16">
        <f t="shared" si="5"/>
        <v>-7.4984443061605496E-2</v>
      </c>
      <c r="I45" s="17">
        <v>46168</v>
      </c>
      <c r="J45" s="16">
        <v>6.2399999999999997E-2</v>
      </c>
      <c r="K45" s="14">
        <f>NETWORKDAYS(B45,I45,假期!A46:A78)</f>
        <v>21</v>
      </c>
      <c r="L45" s="14">
        <v>20260528</v>
      </c>
    </row>
    <row r="46" spans="1:12">
      <c r="A46" s="8">
        <v>45</v>
      </c>
      <c r="B46" s="6">
        <v>46140</v>
      </c>
      <c r="C46" s="8" t="s">
        <v>65</v>
      </c>
      <c r="D46" s="8">
        <v>601600</v>
      </c>
      <c r="E46" s="8">
        <v>11.85</v>
      </c>
      <c r="F46" s="8">
        <v>20260528</v>
      </c>
      <c r="G46" s="8">
        <v>11.3</v>
      </c>
      <c r="H46" s="10">
        <f t="shared" si="5"/>
        <v>-4.6413502109704602E-2</v>
      </c>
      <c r="I46" s="12">
        <v>46168</v>
      </c>
      <c r="J46" s="10">
        <v>0.10100000000000001</v>
      </c>
      <c r="K46" s="8">
        <f>NETWORKDAYS(B46,I46,假期!A47:A79)</f>
        <v>21</v>
      </c>
      <c r="L46" s="8">
        <v>20260528</v>
      </c>
    </row>
    <row r="47" spans="1:12">
      <c r="A47" s="8">
        <v>46</v>
      </c>
      <c r="B47" s="6">
        <v>46140</v>
      </c>
      <c r="C47" s="8" t="s">
        <v>66</v>
      </c>
      <c r="D47" s="21" t="s">
        <v>67</v>
      </c>
      <c r="E47" s="8">
        <v>26.55</v>
      </c>
      <c r="F47" s="8">
        <v>20260528</v>
      </c>
      <c r="G47" s="8">
        <v>23.05</v>
      </c>
      <c r="H47" s="10">
        <f t="shared" si="5"/>
        <v>-0.13182674199623401</v>
      </c>
      <c r="I47" s="12">
        <v>46167</v>
      </c>
      <c r="J47" s="10">
        <v>4.2299999999999997E-2</v>
      </c>
      <c r="K47" s="8">
        <f>NETWORKDAYS(B47,I47,假期!A48:A80)</f>
        <v>20</v>
      </c>
      <c r="L47" s="8">
        <v>20260528</v>
      </c>
    </row>
    <row r="48" spans="1:12">
      <c r="A48" s="8">
        <v>47</v>
      </c>
      <c r="B48" s="6">
        <v>46140</v>
      </c>
      <c r="C48" s="8" t="s">
        <v>68</v>
      </c>
      <c r="D48" s="23" t="s">
        <v>78</v>
      </c>
      <c r="E48" s="8">
        <v>40.700000000000003</v>
      </c>
      <c r="F48" s="8">
        <v>20260528</v>
      </c>
      <c r="G48" s="8">
        <v>47.27</v>
      </c>
      <c r="H48" s="10">
        <f t="shared" si="5"/>
        <v>0.16142506142506099</v>
      </c>
      <c r="I48" s="12">
        <v>46155</v>
      </c>
      <c r="J48" s="10">
        <v>0.1</v>
      </c>
      <c r="K48" s="8">
        <f>NETWORKDAYS(B48,I48,假期!A49:A81)</f>
        <v>12</v>
      </c>
      <c r="L48" s="8">
        <v>20260528</v>
      </c>
    </row>
    <row r="49" spans="1:12">
      <c r="A49" s="14">
        <v>48</v>
      </c>
      <c r="B49" s="15">
        <v>46148</v>
      </c>
      <c r="C49" s="14" t="s">
        <v>69</v>
      </c>
      <c r="D49" s="14">
        <v>688663</v>
      </c>
      <c r="E49" s="14">
        <v>68.86</v>
      </c>
      <c r="F49" s="14">
        <v>20260605</v>
      </c>
      <c r="G49" s="14">
        <v>88.37</v>
      </c>
      <c r="H49" s="16">
        <f t="shared" si="5"/>
        <v>0.28332849259366799</v>
      </c>
      <c r="I49" s="17">
        <v>46160</v>
      </c>
      <c r="J49" s="16">
        <v>0.15959999999999999</v>
      </c>
      <c r="K49" s="14">
        <f>NETWORKDAYS(B49,I49,假期!A50:A82)</f>
        <v>9</v>
      </c>
      <c r="L49" s="14">
        <v>20260605</v>
      </c>
    </row>
    <row r="50" spans="1:12">
      <c r="A50" s="5">
        <v>49</v>
      </c>
      <c r="B50" s="6">
        <v>46148</v>
      </c>
      <c r="C50" s="5" t="s">
        <v>70</v>
      </c>
      <c r="D50" s="5">
        <v>300001</v>
      </c>
      <c r="E50" s="5">
        <v>29.68</v>
      </c>
      <c r="F50" s="18">
        <v>20260605</v>
      </c>
      <c r="G50" s="5">
        <v>39.86</v>
      </c>
      <c r="H50" s="7">
        <f t="shared" si="5"/>
        <v>0.34299191374663102</v>
      </c>
      <c r="I50" s="19">
        <v>46177</v>
      </c>
      <c r="J50" s="7">
        <v>0.11990000000000001</v>
      </c>
      <c r="K50" s="5">
        <f>NETWORKDAYS(B50,I50,假期!A51:A83)</f>
        <v>22</v>
      </c>
      <c r="L50" s="5">
        <v>20260605</v>
      </c>
    </row>
    <row r="51" spans="1:12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</row>
    <row r="52" spans="1:12">
      <c r="A52" s="8">
        <v>50</v>
      </c>
      <c r="B52" s="20">
        <v>46160</v>
      </c>
      <c r="C52" s="8" t="s">
        <v>71</v>
      </c>
      <c r="D52" s="8">
        <v>300846</v>
      </c>
      <c r="E52" s="8">
        <v>31.41</v>
      </c>
      <c r="F52" s="14">
        <v>20260612</v>
      </c>
      <c r="G52" s="8">
        <v>22.63</v>
      </c>
      <c r="H52" s="10">
        <f>(G52-E52)/E52</f>
        <v>-0.27952881248010192</v>
      </c>
      <c r="I52" s="12">
        <v>46161</v>
      </c>
      <c r="J52" s="10">
        <v>4.3200000000000002E-2</v>
      </c>
      <c r="K52" s="8">
        <f>NETWORKDAYS(B52,I52,假期!A52:A84)</f>
        <v>2</v>
      </c>
      <c r="L52" s="8">
        <v>20260618</v>
      </c>
    </row>
    <row r="53" spans="1:12">
      <c r="A53" s="8">
        <v>51</v>
      </c>
      <c r="B53" s="20">
        <v>46160</v>
      </c>
      <c r="C53" s="8" t="s">
        <v>50</v>
      </c>
      <c r="D53" s="21" t="s">
        <v>51</v>
      </c>
      <c r="E53" s="8">
        <v>67</v>
      </c>
      <c r="F53" s="14">
        <v>20260612</v>
      </c>
      <c r="G53" s="8">
        <v>39.03</v>
      </c>
      <c r="H53" s="10">
        <f>(G53-E53)/E53</f>
        <v>-0.41746268656716418</v>
      </c>
      <c r="I53" s="12">
        <v>46175</v>
      </c>
      <c r="J53" s="10">
        <v>7.0999999999999994E-2</v>
      </c>
      <c r="K53" s="8">
        <f>NETWORKDAYS(B53,I53,假期!A53:A85)</f>
        <v>12</v>
      </c>
      <c r="L53" s="8">
        <v>20260618</v>
      </c>
    </row>
    <row r="54" spans="1:12">
      <c r="A54" s="8">
        <v>52</v>
      </c>
      <c r="B54" s="20">
        <v>46163</v>
      </c>
      <c r="C54" s="8" t="s">
        <v>72</v>
      </c>
      <c r="D54" s="8">
        <v>688411</v>
      </c>
      <c r="E54" s="8">
        <v>268</v>
      </c>
      <c r="F54" s="14">
        <v>20260612</v>
      </c>
      <c r="G54" s="8">
        <v>264</v>
      </c>
      <c r="H54" s="10">
        <f>(G54-E54)/E54</f>
        <v>-1.4925373134328358E-2</v>
      </c>
      <c r="I54" s="12">
        <v>46167</v>
      </c>
      <c r="J54" s="10">
        <v>8.2299999999999998E-2</v>
      </c>
      <c r="K54" s="8">
        <f>NETWORKDAYS(B54,I54,假期!A54:A86)</f>
        <v>3</v>
      </c>
      <c r="L54" s="8">
        <v>20260619</v>
      </c>
    </row>
    <row r="55" spans="1:12">
      <c r="A55" s="8">
        <v>53</v>
      </c>
      <c r="B55" s="20">
        <v>46163</v>
      </c>
      <c r="C55" s="8" t="s">
        <v>73</v>
      </c>
      <c r="D55" s="8">
        <v>301358</v>
      </c>
      <c r="E55" s="8">
        <v>94.8</v>
      </c>
      <c r="F55" s="14">
        <v>20260612</v>
      </c>
      <c r="G55" s="8">
        <v>75.099999999999994</v>
      </c>
      <c r="H55" s="10">
        <f>(G55-E55)/E55</f>
        <v>-0.20780590717299582</v>
      </c>
      <c r="I55" s="12">
        <v>46171</v>
      </c>
      <c r="J55" s="10">
        <v>1.5599999999999999E-2</v>
      </c>
      <c r="K55" s="8">
        <f>NETWORKDAYS(B55,I55,假期!A55:A87)</f>
        <v>7</v>
      </c>
      <c r="L55" s="8">
        <v>20260619</v>
      </c>
    </row>
    <row r="56" spans="1:12">
      <c r="B56" s="2"/>
    </row>
    <row r="57" spans="1:12">
      <c r="B57" s="2"/>
    </row>
    <row r="58" spans="1:12">
      <c r="B58" s="2"/>
    </row>
    <row r="59" spans="1:12">
      <c r="B59" s="2"/>
    </row>
    <row r="60" spans="1:12">
      <c r="B60" s="2"/>
    </row>
    <row r="61" spans="1:12">
      <c r="B61" s="2"/>
    </row>
  </sheetData>
  <mergeCells count="1">
    <mergeCell ref="A51:L51"/>
  </mergeCells>
  <phoneticPr fontId="5" type="noConversion"/>
  <conditionalFormatting sqref="H2:H50 H52:H5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/>
  <ignoredErrors>
    <ignoredError sqref="D53 C18:D19 C22 C35 A17:A22 C17 C21 C20" numberStoredAsText="1"/>
    <ignoredError sqref="C23:D24 F17:F27 H17:H29 A1:A16 A23:A29 J2:J16 C1:H14 C36:D44 C16:H16 C15 E15:H15 C26:D31 C25 C33:D34 C32 C46:D47 C45 C49:D50 C48" numberStoredAsText="1" formulaRange="1"/>
    <ignoredError sqref="E30:O30 I23:O29 I2:I16 H35:H36 H37:O42 H43 K43:O43 H44:O44 L50:O50 A56:O63 M52:O55 H31:O34 B50 E31:E34 E23:E27 G23:G27 E28:G29 H45:H49 K45:O49 A36:B49 K2:O16 E36:E50" formulaRange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4"/>
  <sheetViews>
    <sheetView workbookViewId="0">
      <selection activeCell="A35" sqref="A35"/>
    </sheetView>
  </sheetViews>
  <sheetFormatPr baseColWidth="10" defaultColWidth="9" defaultRowHeight="14"/>
  <cols>
    <col min="1" max="1" width="10.6640625" customWidth="1"/>
  </cols>
  <sheetData>
    <row r="1" spans="1:1">
      <c r="A1" s="1" t="s">
        <v>74</v>
      </c>
    </row>
    <row r="2" spans="1:1">
      <c r="A2" s="2">
        <v>46023</v>
      </c>
    </row>
    <row r="3" spans="1:1">
      <c r="A3" s="2">
        <v>46024</v>
      </c>
    </row>
    <row r="4" spans="1:1">
      <c r="A4" s="2">
        <v>46025</v>
      </c>
    </row>
    <row r="5" spans="1:1">
      <c r="A5" s="2">
        <v>46068</v>
      </c>
    </row>
    <row r="6" spans="1:1">
      <c r="A6" s="2">
        <v>46069</v>
      </c>
    </row>
    <row r="7" spans="1:1">
      <c r="A7" s="2">
        <v>46070</v>
      </c>
    </row>
    <row r="8" spans="1:1">
      <c r="A8" s="2">
        <v>46071</v>
      </c>
    </row>
    <row r="9" spans="1:1">
      <c r="A9" s="2">
        <v>46072</v>
      </c>
    </row>
    <row r="10" spans="1:1">
      <c r="A10" s="2">
        <v>46073</v>
      </c>
    </row>
    <row r="11" spans="1:1">
      <c r="A11" s="2">
        <v>46074</v>
      </c>
    </row>
    <row r="12" spans="1:1">
      <c r="A12" s="2">
        <v>46075</v>
      </c>
    </row>
    <row r="13" spans="1:1">
      <c r="A13" s="2">
        <v>46076</v>
      </c>
    </row>
    <row r="14" spans="1:1">
      <c r="A14" s="2">
        <v>46116</v>
      </c>
    </row>
    <row r="15" spans="1:1">
      <c r="A15" s="2">
        <v>46117</v>
      </c>
    </row>
    <row r="16" spans="1:1">
      <c r="A16" s="2">
        <v>46118</v>
      </c>
    </row>
    <row r="17" spans="1:1">
      <c r="A17" s="2">
        <v>46143</v>
      </c>
    </row>
    <row r="18" spans="1:1">
      <c r="A18" s="2">
        <v>46144</v>
      </c>
    </row>
    <row r="19" spans="1:1">
      <c r="A19" s="2">
        <v>46145</v>
      </c>
    </row>
    <row r="20" spans="1:1">
      <c r="A20" s="2">
        <v>46146</v>
      </c>
    </row>
    <row r="21" spans="1:1">
      <c r="A21" s="2">
        <v>46147</v>
      </c>
    </row>
    <row r="22" spans="1:1">
      <c r="A22" s="2">
        <v>46192</v>
      </c>
    </row>
    <row r="23" spans="1:1">
      <c r="A23" s="2">
        <v>46193</v>
      </c>
    </row>
    <row r="24" spans="1:1">
      <c r="A24" s="2">
        <v>46194</v>
      </c>
    </row>
    <row r="25" spans="1:1">
      <c r="A25" s="2">
        <v>46290</v>
      </c>
    </row>
    <row r="26" spans="1:1">
      <c r="A26" s="2">
        <v>46291</v>
      </c>
    </row>
    <row r="27" spans="1:1">
      <c r="A27" s="2">
        <v>46292</v>
      </c>
    </row>
    <row r="28" spans="1:1">
      <c r="A28" s="2">
        <v>46296</v>
      </c>
    </row>
    <row r="29" spans="1:1">
      <c r="A29" s="2">
        <v>46297</v>
      </c>
    </row>
    <row r="30" spans="1:1">
      <c r="A30" s="2">
        <v>46298</v>
      </c>
    </row>
    <row r="31" spans="1:1">
      <c r="A31" s="2">
        <v>46299</v>
      </c>
    </row>
    <row r="32" spans="1:1">
      <c r="A32" s="2">
        <v>46300</v>
      </c>
    </row>
    <row r="33" spans="1:1">
      <c r="A33" s="2">
        <v>46301</v>
      </c>
    </row>
    <row r="34" spans="1:1">
      <c r="A34" s="2">
        <v>46302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9" defaultRowHeight="14"/>
  <sheetData/>
  <phoneticPr fontId="5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假期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HUAWEI</dc:creator>
  <cp:lastModifiedBy>Jesse Ng</cp:lastModifiedBy>
  <dcterms:created xsi:type="dcterms:W3CDTF">2023-05-12T11:15:00Z</dcterms:created>
  <dcterms:modified xsi:type="dcterms:W3CDTF">2026-06-18T07:30:00Z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2EA53BC090284BC69B70E27BE3D8077E_12</vt:lpwstr>
  </property>
  <property fmtid="{D5CDD505-2E9C-101B-9397-08002B2CF9AE}" pid="4" name="CalculationRule">
    <vt:i4>0</vt:i4>
  </property>
</Properties>
</file>